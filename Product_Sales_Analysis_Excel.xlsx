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945c242bfc7e0b/Desktop/"/>
    </mc:Choice>
  </mc:AlternateContent>
  <xr:revisionPtr revIDLastSave="0" documentId="8_{3C3860CF-912D-4ACE-9A19-C7EE767CA7C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escriptive Analysis" sheetId="2" r:id="rId1"/>
    <sheet name="Regression Analysis" sheetId="3" r:id="rId2"/>
    <sheet name="Sales &amp; Advertising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<sst xmlns="http://schemas.openxmlformats.org/spreadsheetml/2006/main" count="65" uniqueCount="63">
  <si>
    <t>Product ID</t>
  </si>
  <si>
    <t>Sales</t>
  </si>
  <si>
    <t>Advertising Cost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</si>
  <si>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</si>
  <si>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</si>
  <si>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</si>
  <si>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</si>
  <si>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</si>
  <si>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</si>
  <si>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</si>
  <si>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</si>
  <si>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</si>
  <si>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</si>
  <si>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</si>
  <si>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</si>
  <si>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</si>
  <si>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</si>
  <si>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</si>
  <si>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MEAN</t>
  </si>
  <si>
    <t>MEDIAN</t>
  </si>
  <si>
    <t>MODE</t>
  </si>
  <si>
    <t>VARIANCE</t>
  </si>
  <si>
    <t>RANGE</t>
  </si>
  <si>
    <t>STD DEVIACTION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</si>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</sst>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&amp; Advertising Data'!$B$1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'Sales &amp; Advertising Data'!$A$2:$A$16</c:f>
              <c:strCache>
                <c:ptCount val="15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P105</c:v>
                </c:pt>
                <c:pt idx="5">
                  <c:v>P106</c:v>
                </c:pt>
                <c:pt idx="6">
                  <c:v>P107</c:v>
                </c:pt>
                <c:pt idx="7">
                  <c:v>P108</c:v>
                </c:pt>
                <c:pt idx="8">
                  <c:v>P109</c:v>
                </c:pt>
                <c:pt idx="9">
                  <c:v>P110</c:v>
                </c:pt>
                <c:pt idx="10">
                  <c:v>P111</c:v>
                </c:pt>
                <c:pt idx="11">
                  <c:v>P112</c:v>
                </c:pt>
                <c:pt idx="12">
                  <c:v>P113</c:v>
                </c:pt>
                <c:pt idx="13">
                  <c:v>P114</c:v>
                </c:pt>
                <c:pt idx="14">
                  <c:v>P115</c:v>
                </c:pt>
              </c:strCache>
            </c:strRef>
          </c:cat>
          <c:val>
            <c:numRef>
              <c:f>'Sales &amp; Advertising Data'!$B$2:$B$16</c:f>
              <c:numCache>
                <c:formatCode>#,##0</c:formatCode>
                <c:ptCount val="15"/>
                <c:pt idx="0">
                  <c:v>450</c:v>
                </c:pt>
                <c:pt idx="1">
                  <c:v>620</c:v>
                </c:pt>
                <c:pt idx="2">
                  <c:v>750</c:v>
                </c:pt>
                <c:pt idx="3">
                  <c:v>860</c:v>
                </c:pt>
                <c:pt idx="4">
                  <c:v>980</c:v>
                </c:pt>
                <c:pt idx="5">
                  <c:v>1100</c:v>
                </c:pt>
                <c:pt idx="6">
                  <c:v>1250</c:v>
                </c:pt>
                <c:pt idx="7">
                  <c:v>1400</c:v>
                </c:pt>
                <c:pt idx="8">
                  <c:v>1600</c:v>
                </c:pt>
                <c:pt idx="9">
                  <c:v>500</c:v>
                </c:pt>
                <c:pt idx="10">
                  <c:v>750</c:v>
                </c:pt>
                <c:pt idx="11">
                  <c:v>920</c:v>
                </c:pt>
                <c:pt idx="12">
                  <c:v>1180</c:v>
                </c:pt>
                <c:pt idx="13">
                  <c:v>1360</c:v>
                </c:pt>
                <c:pt idx="14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A-4CE8-9993-EDA63312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89177728"/>
        <c:axId val="589179648"/>
        <c:axId val="0"/>
      </c:bar3DChart>
      <c:catAx>
        <c:axId val="5891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79648"/>
        <c:crosses val="autoZero"/>
        <c:auto val="1"/>
        <c:lblAlgn val="ctr"/>
        <c:lblOffset val="100"/>
        <c:noMultiLvlLbl val="0"/>
      </c:catAx>
      <c:valAx>
        <c:axId val="5891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7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&amp; Advertising Data'!$B$1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cat>
            <c:strRef>
              <c:f>'Sales &amp; Advertising Data'!$A$2:$A$16</c:f>
              <c:strCache>
                <c:ptCount val="15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P105</c:v>
                </c:pt>
                <c:pt idx="5">
                  <c:v>P106</c:v>
                </c:pt>
                <c:pt idx="6">
                  <c:v>P107</c:v>
                </c:pt>
                <c:pt idx="7">
                  <c:v>P108</c:v>
                </c:pt>
                <c:pt idx="8">
                  <c:v>P109</c:v>
                </c:pt>
                <c:pt idx="9">
                  <c:v>P110</c:v>
                </c:pt>
                <c:pt idx="10">
                  <c:v>P111</c:v>
                </c:pt>
                <c:pt idx="11">
                  <c:v>P112</c:v>
                </c:pt>
                <c:pt idx="12">
                  <c:v>P113</c:v>
                </c:pt>
                <c:pt idx="13">
                  <c:v>P114</c:v>
                </c:pt>
                <c:pt idx="14">
                  <c:v>P115</c:v>
                </c:pt>
              </c:strCache>
            </c:strRef>
          </c:cat>
          <c:val>
            <c:numRef>
              <c:f>'Sales &amp; Advertising Data'!$B$2:$B$16</c:f>
              <c:numCache>
                <c:formatCode>#,##0</c:formatCode>
                <c:ptCount val="15"/>
                <c:pt idx="0">
                  <c:v>450</c:v>
                </c:pt>
                <c:pt idx="1">
                  <c:v>620</c:v>
                </c:pt>
                <c:pt idx="2">
                  <c:v>750</c:v>
                </c:pt>
                <c:pt idx="3">
                  <c:v>860</c:v>
                </c:pt>
                <c:pt idx="4">
                  <c:v>980</c:v>
                </c:pt>
                <c:pt idx="5">
                  <c:v>1100</c:v>
                </c:pt>
                <c:pt idx="6">
                  <c:v>1250</c:v>
                </c:pt>
                <c:pt idx="7">
                  <c:v>1400</c:v>
                </c:pt>
                <c:pt idx="8">
                  <c:v>1600</c:v>
                </c:pt>
                <c:pt idx="9">
                  <c:v>500</c:v>
                </c:pt>
                <c:pt idx="10">
                  <c:v>750</c:v>
                </c:pt>
                <c:pt idx="11">
                  <c:v>920</c:v>
                </c:pt>
                <c:pt idx="12">
                  <c:v>1180</c:v>
                </c:pt>
                <c:pt idx="13">
                  <c:v>1360</c:v>
                </c:pt>
                <c:pt idx="14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2-4697-BA85-F5219F8D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3</xdr:row>
      <xdr:rowOff>91440</xdr:rowOff>
    </xdr:from>
    <xdr:to>
      <xdr:col>7</xdr:col>
      <xdr:colOff>15240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47695-AC5E-A662-9039-FB15CC1ED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3</xdr:row>
      <xdr:rowOff>83820</xdr:rowOff>
    </xdr:from>
    <xdr:to>
      <xdr:col>12</xdr:col>
      <xdr:colOff>129540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76FD5C-6AF1-965B-F8C9-99A0F94EC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84B0-94BC-42D4-A90F-C21A564DC05B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14" t="s">
        <v>25</v>
      </c>
      <c r="B1" s="14"/>
    </row>
    <row r="2" spans="1:2" x14ac:dyDescent="0.3">
      <c r="A2" s="11"/>
      <c r="B2" s="11"/>
    </row>
    <row r="3" spans="1:2" x14ac:dyDescent="0.3">
      <c r="A3" s="11" t="s">
        <v>26</v>
      </c>
      <c r="B3" s="11">
        <v>1018</v>
      </c>
    </row>
    <row r="4" spans="1:2" x14ac:dyDescent="0.3">
      <c r="A4" s="11" t="s">
        <v>27</v>
      </c>
      <c r="B4" s="11">
        <v>95.129986259403424</v>
      </c>
    </row>
    <row r="5" spans="1:2" x14ac:dyDescent="0.3">
      <c r="A5" s="11" t="s">
        <v>28</v>
      </c>
      <c r="B5" s="11">
        <v>980</v>
      </c>
    </row>
    <row r="6" spans="1:2" x14ac:dyDescent="0.3">
      <c r="A6" s="11" t="s">
        <v>29</v>
      </c>
      <c r="B6" s="11">
        <v>750</v>
      </c>
    </row>
    <row r="7" spans="1:2" x14ac:dyDescent="0.3">
      <c r="A7" s="11" t="s">
        <v>30</v>
      </c>
      <c r="B7" s="11">
        <v>368.4368525076099</v>
      </c>
    </row>
    <row r="8" spans="1:2" x14ac:dyDescent="0.3">
      <c r="A8" s="11" t="s">
        <v>31</v>
      </c>
      <c r="B8" s="11">
        <v>135745.71428571429</v>
      </c>
    </row>
    <row r="9" spans="1:2" x14ac:dyDescent="0.3">
      <c r="A9" s="11" t="s">
        <v>32</v>
      </c>
      <c r="B9" s="11">
        <v>-1.1115498266230541</v>
      </c>
    </row>
    <row r="10" spans="1:2" x14ac:dyDescent="0.3">
      <c r="A10" s="11" t="s">
        <v>33</v>
      </c>
      <c r="B10" s="11">
        <v>5.27587498505908E-2</v>
      </c>
    </row>
    <row r="11" spans="1:2" x14ac:dyDescent="0.3">
      <c r="A11" s="11" t="s">
        <v>34</v>
      </c>
      <c r="B11" s="11">
        <v>1150</v>
      </c>
    </row>
    <row r="12" spans="1:2" x14ac:dyDescent="0.3">
      <c r="A12" s="11" t="s">
        <v>35</v>
      </c>
      <c r="B12" s="11">
        <v>450</v>
      </c>
    </row>
    <row r="13" spans="1:2" x14ac:dyDescent="0.3">
      <c r="A13" s="11" t="s">
        <v>36</v>
      </c>
      <c r="B13" s="11">
        <v>1600</v>
      </c>
    </row>
    <row r="14" spans="1:2" x14ac:dyDescent="0.3">
      <c r="A14" s="11" t="s">
        <v>37</v>
      </c>
      <c r="B14" s="11">
        <v>15270</v>
      </c>
    </row>
    <row r="15" spans="1:2" ht="15" thickBot="1" x14ac:dyDescent="0.35">
      <c r="A15" s="12" t="s">
        <v>38</v>
      </c>
      <c r="B15" s="1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A36-66EE-42CA-82D3-F3D2BAF84D24}">
  <dimension ref="A1:I18"/>
  <sheetViews>
    <sheetView workbookViewId="0">
      <selection activeCell="K19" sqref="K19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14" t="s">
        <v>40</v>
      </c>
      <c r="B3" s="14"/>
    </row>
    <row r="4" spans="1:9" x14ac:dyDescent="0.3">
      <c r="A4" s="11" t="s">
        <v>41</v>
      </c>
      <c r="B4" s="11">
        <v>0.99226697571086364</v>
      </c>
    </row>
    <row r="5" spans="1:9" x14ac:dyDescent="0.3">
      <c r="A5" s="11" t="s">
        <v>42</v>
      </c>
      <c r="B5" s="11">
        <v>0.98459375108638358</v>
      </c>
    </row>
    <row r="6" spans="1:9" x14ac:dyDescent="0.3">
      <c r="A6" s="11" t="s">
        <v>43</v>
      </c>
      <c r="B6" s="11">
        <v>0.98340865501610542</v>
      </c>
    </row>
    <row r="7" spans="1:9" x14ac:dyDescent="0.3">
      <c r="A7" s="11" t="s">
        <v>27</v>
      </c>
      <c r="B7" s="11">
        <v>47.457391160908564</v>
      </c>
    </row>
    <row r="8" spans="1:9" ht="15" thickBot="1" x14ac:dyDescent="0.35">
      <c r="A8" s="12" t="s">
        <v>44</v>
      </c>
      <c r="B8" s="12">
        <v>15</v>
      </c>
    </row>
    <row r="10" spans="1:9" ht="15" thickBot="1" x14ac:dyDescent="0.35">
      <c r="A10" t="s">
        <v>45</v>
      </c>
    </row>
    <row r="11" spans="1:9" x14ac:dyDescent="0.3">
      <c r="A11" s="13"/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</row>
    <row r="12" spans="1:9" x14ac:dyDescent="0.3">
      <c r="A12" s="11" t="s">
        <v>46</v>
      </c>
      <c r="B12" s="11">
        <v>1</v>
      </c>
      <c r="C12" s="11">
        <v>1871161.3483146068</v>
      </c>
      <c r="D12" s="11">
        <v>1871161.3483146068</v>
      </c>
      <c r="E12" s="11">
        <v>830.81344692608775</v>
      </c>
      <c r="F12" s="11">
        <v>3.6272217045409115E-13</v>
      </c>
    </row>
    <row r="13" spans="1:9" x14ac:dyDescent="0.3">
      <c r="A13" s="11" t="s">
        <v>47</v>
      </c>
      <c r="B13" s="11">
        <v>13</v>
      </c>
      <c r="C13" s="11">
        <v>29278.651685393266</v>
      </c>
      <c r="D13" s="11">
        <v>2252.2039757994821</v>
      </c>
      <c r="E13" s="11"/>
      <c r="F13" s="11"/>
    </row>
    <row r="14" spans="1:9" ht="15" thickBot="1" x14ac:dyDescent="0.35">
      <c r="A14" s="12" t="s">
        <v>48</v>
      </c>
      <c r="B14" s="12">
        <v>14</v>
      </c>
      <c r="C14" s="12">
        <v>1900440</v>
      </c>
      <c r="D14" s="12"/>
      <c r="E14" s="12"/>
      <c r="F14" s="12"/>
    </row>
    <row r="15" spans="1:9" ht="15" thickBot="1" x14ac:dyDescent="0.35"/>
    <row r="16" spans="1:9" x14ac:dyDescent="0.3">
      <c r="A16" s="13"/>
      <c r="B16" s="13" t="s">
        <v>55</v>
      </c>
      <c r="C16" s="13" t="s">
        <v>27</v>
      </c>
      <c r="D16" s="13" t="s">
        <v>56</v>
      </c>
      <c r="E16" s="13" t="s">
        <v>57</v>
      </c>
      <c r="F16" s="13" t="s">
        <v>58</v>
      </c>
      <c r="G16" s="13" t="s">
        <v>59</v>
      </c>
      <c r="H16" s="13" t="s">
        <v>60</v>
      </c>
      <c r="I16" s="13" t="s">
        <v>61</v>
      </c>
    </row>
    <row r="17" spans="1:9" x14ac:dyDescent="0.3">
      <c r="A17" s="11" t="s">
        <v>49</v>
      </c>
      <c r="B17" s="11">
        <v>184.99999999999989</v>
      </c>
      <c r="C17" s="11">
        <v>31.390113720919732</v>
      </c>
      <c r="D17" s="11">
        <v>5.8935753353677045</v>
      </c>
      <c r="E17" s="11">
        <v>5.291679459313341E-5</v>
      </c>
      <c r="F17" s="11">
        <v>117.18578219452225</v>
      </c>
      <c r="G17" s="11">
        <v>252.81421780547754</v>
      </c>
      <c r="H17" s="11">
        <v>117.18578219452225</v>
      </c>
      <c r="I17" s="11">
        <v>252.81421780547754</v>
      </c>
    </row>
    <row r="18" spans="1:9" ht="15" thickBot="1" x14ac:dyDescent="0.35">
      <c r="A18" s="12" t="s">
        <v>62</v>
      </c>
      <c r="B18" s="12">
        <v>140.3932584269663</v>
      </c>
      <c r="C18" s="12">
        <v>4.870734927487109</v>
      </c>
      <c r="D18" s="12">
        <v>28.823834701963026</v>
      </c>
      <c r="E18" s="12">
        <v>3.6272217045409115E-13</v>
      </c>
      <c r="F18" s="12">
        <v>129.87067535568457</v>
      </c>
      <c r="G18" s="12">
        <v>150.91584149824803</v>
      </c>
      <c r="H18" s="12">
        <v>129.87067535568457</v>
      </c>
      <c r="I18" s="12">
        <v>150.91584149824803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22" sqref="G22"/>
    </sheetView>
  </sheetViews>
  <sheetFormatPr defaultRowHeight="14.4" x14ac:dyDescent="0.3"/>
  <cols>
    <col min="1" max="1" width="12.88671875" customWidth="1"/>
    <col min="2" max="2" width="17" customWidth="1"/>
    <col min="3" max="3" width="19.44140625" customWidth="1"/>
    <col min="4" max="4" width="21" customWidth="1"/>
    <col min="5" max="5" width="18.109375" customWidth="1"/>
    <col min="6" max="7" width="15.44140625" customWidth="1"/>
    <col min="8" max="8" width="16" customWidth="1"/>
    <col min="9" max="9" width="19.33203125" customWidth="1"/>
    <col min="10" max="10" width="16" customWidth="1"/>
  </cols>
  <sheetData>
    <row r="1" spans="1:10" ht="16.8" x14ac:dyDescent="0.3">
      <c r="A1" s="1" t="s">
        <v>0</v>
      </c>
      <c r="B1" s="1" t="s">
        <v>1</v>
      </c>
      <c r="C1" s="1" t="s">
        <v>2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</row>
    <row r="2" spans="1:10" ht="16.8" x14ac:dyDescent="0.3">
      <c r="A2" s="2" t="s">
        <v>3</v>
      </c>
      <c r="B2" s="7">
        <v>450</v>
      </c>
      <c r="C2" s="7">
        <v>2</v>
      </c>
      <c r="D2" s="10">
        <f>AVERAGE(B2:B16)</f>
        <v>1018</v>
      </c>
      <c r="E2" s="10">
        <f>MEDIAN(B2:B16)</f>
        <v>980</v>
      </c>
      <c r="F2">
        <f>_xlfn.MODE.SNGL(B2:B16)</f>
        <v>750</v>
      </c>
      <c r="G2">
        <f>_xlfn.VAR.S(B2:B16)</f>
        <v>135745.71428571429</v>
      </c>
      <c r="H2" s="10">
        <f>MAX(B2:B16)-MIN(B2:B16)</f>
        <v>1150</v>
      </c>
      <c r="I2">
        <f>_xlfn.STDEV.S(B2:B16)</f>
        <v>368.4368525076099</v>
      </c>
      <c r="J2">
        <f>CORREL(B2:B16,C2:C16)</f>
        <v>0.99226697571086342</v>
      </c>
    </row>
    <row r="3" spans="1:10" ht="16.8" x14ac:dyDescent="0.3">
      <c r="A3" s="3" t="s">
        <v>4</v>
      </c>
      <c r="B3" s="8">
        <v>620</v>
      </c>
      <c r="C3" s="8">
        <v>3</v>
      </c>
    </row>
    <row r="4" spans="1:10" ht="16.8" x14ac:dyDescent="0.3">
      <c r="A4" s="2" t="s">
        <v>5</v>
      </c>
      <c r="B4" s="7">
        <v>750</v>
      </c>
      <c r="C4" s="7">
        <v>4</v>
      </c>
    </row>
    <row r="5" spans="1:10" ht="16.8" x14ac:dyDescent="0.3">
      <c r="A5" s="3" t="s">
        <v>6</v>
      </c>
      <c r="B5" s="8">
        <v>860</v>
      </c>
      <c r="C5" s="8">
        <v>5</v>
      </c>
    </row>
    <row r="6" spans="1:10" ht="16.8" x14ac:dyDescent="0.3">
      <c r="A6" s="2" t="s">
        <v>7</v>
      </c>
      <c r="B6" s="7">
        <v>980</v>
      </c>
      <c r="C6" s="7">
        <v>6</v>
      </c>
    </row>
    <row r="7" spans="1:10" ht="16.8" x14ac:dyDescent="0.3">
      <c r="A7" s="3" t="s">
        <v>8</v>
      </c>
      <c r="B7" s="8">
        <v>1100</v>
      </c>
      <c r="C7" s="8">
        <v>7</v>
      </c>
    </row>
    <row r="8" spans="1:10" ht="16.8" x14ac:dyDescent="0.3">
      <c r="A8" s="2" t="s">
        <v>9</v>
      </c>
      <c r="B8" s="7">
        <v>1250</v>
      </c>
      <c r="C8" s="7">
        <v>8</v>
      </c>
    </row>
    <row r="9" spans="1:10" ht="16.8" x14ac:dyDescent="0.3">
      <c r="A9" s="3" t="s">
        <v>10</v>
      </c>
      <c r="B9" s="8">
        <v>1400</v>
      </c>
      <c r="C9" s="8">
        <v>9</v>
      </c>
    </row>
    <row r="10" spans="1:10" ht="16.8" x14ac:dyDescent="0.3">
      <c r="A10" s="2" t="s">
        <v>11</v>
      </c>
      <c r="B10" s="7">
        <v>1600</v>
      </c>
      <c r="C10" s="7">
        <v>10</v>
      </c>
    </row>
    <row r="11" spans="1:10" ht="16.8" x14ac:dyDescent="0.3">
      <c r="A11" s="3" t="s">
        <v>12</v>
      </c>
      <c r="B11" s="8">
        <v>500</v>
      </c>
      <c r="C11" s="8">
        <v>2</v>
      </c>
    </row>
    <row r="12" spans="1:10" ht="16.8" x14ac:dyDescent="0.3">
      <c r="A12" s="2" t="s">
        <v>13</v>
      </c>
      <c r="B12" s="7">
        <v>750</v>
      </c>
      <c r="C12" s="7">
        <v>4</v>
      </c>
    </row>
    <row r="13" spans="1:10" ht="16.8" x14ac:dyDescent="0.3">
      <c r="A13" s="3" t="s">
        <v>14</v>
      </c>
      <c r="B13" s="8">
        <v>920</v>
      </c>
      <c r="C13" s="8">
        <v>5</v>
      </c>
    </row>
    <row r="14" spans="1:10" ht="16.8" x14ac:dyDescent="0.3">
      <c r="A14" s="2" t="s">
        <v>15</v>
      </c>
      <c r="B14" s="7">
        <v>1180</v>
      </c>
      <c r="C14" s="7">
        <v>7</v>
      </c>
    </row>
    <row r="15" spans="1:10" ht="16.8" x14ac:dyDescent="0.3">
      <c r="A15" s="3" t="s">
        <v>16</v>
      </c>
      <c r="B15" s="8">
        <v>1360</v>
      </c>
      <c r="C15" s="8">
        <v>8</v>
      </c>
    </row>
    <row r="16" spans="1:10" ht="16.8" x14ac:dyDescent="0.3">
      <c r="A16" s="2" t="s">
        <v>17</v>
      </c>
      <c r="B16" s="7">
        <v>1550</v>
      </c>
      <c r="C16" s="7">
        <v>9</v>
      </c>
    </row>
    <row r="17" spans="1:3" ht="17.399999999999999" thickBot="1" x14ac:dyDescent="0.35">
      <c r="A17" s="4"/>
      <c r="B17" s="5"/>
      <c r="C17" s="6"/>
    </row>
    <row r="18" spans="1:3" ht="15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Analysis</vt:lpstr>
      <vt:lpstr>Regression Analysis</vt:lpstr>
      <vt:lpstr>Sales &amp; Advertising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Kancharla Subbareddy</cp:lastModifiedBy>
  <dcterms:created xsi:type="dcterms:W3CDTF">2026-05-26T17:46:08Z</dcterms:created>
  <dcterms:modified xsi:type="dcterms:W3CDTF">2026-05-26T18:02:25Z</dcterms:modified>
</cp:coreProperties>
</file>