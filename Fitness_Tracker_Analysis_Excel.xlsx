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945c242bfc7e0b/Desktop/"/>
    </mc:Choice>
  </mc:AlternateContent>
  <xr:revisionPtr revIDLastSave="0" documentId="8_{A1BA45A6-1D71-4E1E-A5F0-8939FBCD438B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Descriptive Analysis" sheetId="2" r:id="rId1"/>
    <sheet name="Regression Analysis" sheetId="3" r:id="rId2"/>
    <sheet name="Fitness Tracker Data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<sst xmlns="http://schemas.openxmlformats.org/spreadsheetml/2006/main" count="65" uniqueCount="63">
  <si>
    <t>Person ID</t>
  </si>
  <si>
    <t>Calories Burned</t>
  </si>
  <si>
    <t>Workout Hours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</si>
  <si>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</si>
  <si>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</si>
  <si>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</si>
  <si>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</si>
  <si>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</si>
  <si>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</si>
  <si>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</si>
  <si>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</si>
  <si>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</si>
  <si>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</si>
  <si>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</si>
  <si>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</si>
  <si>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</si>
  <si>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</si>
  <si>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</si>
  <si>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MEAN</t>
  </si>
  <si>
    <t>MEDIAN</t>
  </si>
  <si>
    <t>MODE</t>
  </si>
  <si>
    <t>VARIANCE</t>
  </si>
  <si>
    <t>RANGE</t>
  </si>
  <si>
    <t>STD DEVIATION</t>
  </si>
  <si>
    <t>CORRELATION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</si>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</sst>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6F9"/>
        <bgColor rgb="FFF2F6F9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right" vertical="center"/>
    </xf>
    <xf numFmtId="164" fontId="3" fillId="0" borderId="2" xfId="0" applyNumberFormat="1" applyFont="1" applyBorder="1" applyAlignment="1">
      <alignment horizontal="right" vertical="center"/>
    </xf>
    <xf numFmtId="0" fontId="1" fillId="2" borderId="3" xfId="0" applyFont="1" applyFill="1" applyBorder="1" applyAlignment="1">
      <alignment horizontal="center" vertical="center"/>
    </xf>
    <xf numFmtId="3" fontId="0" fillId="0" borderId="0" xfId="0" applyNumberFormat="1"/>
    <xf numFmtId="0" fontId="0" fillId="0" borderId="0" xfId="0" applyFill="1" applyBorder="1" applyAlignment="1"/>
    <xf numFmtId="0" fontId="0" fillId="0" borderId="4" xfId="0" applyFill="1" applyBorder="1" applyAlignment="1"/>
    <xf numFmtId="0" fontId="4" fillId="0" borderId="5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'Fitness Tracker Data'!$B$1</c:f>
              <c:strCache>
                <c:ptCount val="1"/>
                <c:pt idx="0">
                  <c:v>Calories Burned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'Fitness Tracker Data'!$A$2:$A$16</c:f>
              <c:strCache>
                <c:ptCount val="15"/>
                <c:pt idx="0">
                  <c:v>F101</c:v>
                </c:pt>
                <c:pt idx="1">
                  <c:v>F102</c:v>
                </c:pt>
                <c:pt idx="2">
                  <c:v>F103</c:v>
                </c:pt>
                <c:pt idx="3">
                  <c:v>F104</c:v>
                </c:pt>
                <c:pt idx="4">
                  <c:v>F105</c:v>
                </c:pt>
                <c:pt idx="5">
                  <c:v>F106</c:v>
                </c:pt>
                <c:pt idx="6">
                  <c:v>F107</c:v>
                </c:pt>
                <c:pt idx="7">
                  <c:v>F108</c:v>
                </c:pt>
                <c:pt idx="8">
                  <c:v>F109</c:v>
                </c:pt>
                <c:pt idx="9">
                  <c:v>F110</c:v>
                </c:pt>
                <c:pt idx="10">
                  <c:v>F111</c:v>
                </c:pt>
                <c:pt idx="11">
                  <c:v>F112</c:v>
                </c:pt>
                <c:pt idx="12">
                  <c:v>F113</c:v>
                </c:pt>
                <c:pt idx="13">
                  <c:v>F114</c:v>
                </c:pt>
                <c:pt idx="14">
                  <c:v>F115</c:v>
                </c:pt>
              </c:strCache>
            </c:strRef>
          </c:cat>
          <c:val>
            <c:numRef>
              <c:f>'Fitness Tracker Data'!$B$2:$B$16</c:f>
              <c:numCache>
                <c:formatCode>#,##0</c:formatCode>
                <c:ptCount val="15"/>
                <c:pt idx="0">
                  <c:v>180</c:v>
                </c:pt>
                <c:pt idx="1">
                  <c:v>260</c:v>
                </c:pt>
                <c:pt idx="2">
                  <c:v>300</c:v>
                </c:pt>
                <c:pt idx="3">
                  <c:v>420</c:v>
                </c:pt>
                <c:pt idx="4">
                  <c:v>500</c:v>
                </c:pt>
                <c:pt idx="5">
                  <c:v>590</c:v>
                </c:pt>
                <c:pt idx="6">
                  <c:v>660</c:v>
                </c:pt>
                <c:pt idx="7">
                  <c:v>740</c:v>
                </c:pt>
                <c:pt idx="8">
                  <c:v>820</c:v>
                </c:pt>
                <c:pt idx="9">
                  <c:v>910</c:v>
                </c:pt>
                <c:pt idx="10">
                  <c:v>300</c:v>
                </c:pt>
                <c:pt idx="11">
                  <c:v>470</c:v>
                </c:pt>
                <c:pt idx="12">
                  <c:v>620</c:v>
                </c:pt>
                <c:pt idx="13">
                  <c:v>790</c:v>
                </c:pt>
                <c:pt idx="14">
                  <c:v>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9-4C9D-8700-7C489E4D1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617784368"/>
        <c:axId val="1617784848"/>
        <c:axId val="0"/>
      </c:bar3DChart>
      <c:catAx>
        <c:axId val="161778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784848"/>
        <c:crosses val="autoZero"/>
        <c:auto val="1"/>
        <c:lblAlgn val="ctr"/>
        <c:lblOffset val="100"/>
        <c:noMultiLvlLbl val="0"/>
      </c:catAx>
      <c:valAx>
        <c:axId val="161778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78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2222222222222223E-2"/>
          <c:y val="0.21078703703703705"/>
          <c:w val="0.93888888888888888"/>
          <c:h val="0.58898038786818319"/>
        </c:manualLayout>
      </c:layout>
      <c:pie3DChart>
        <c:varyColors val="1"/>
        <c:ser>
          <c:idx val="0"/>
          <c:order val="0"/>
          <c:tx>
            <c:strRef>
              <c:f>'Fitness Tracker Data'!$B$1</c:f>
              <c:strCache>
                <c:ptCount val="1"/>
                <c:pt idx="0">
                  <c:v>Calories Burned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'Fitness Tracker Data'!$A$2:$A$16</c:f>
              <c:strCache>
                <c:ptCount val="15"/>
                <c:pt idx="0">
                  <c:v>F101</c:v>
                </c:pt>
                <c:pt idx="1">
                  <c:v>F102</c:v>
                </c:pt>
                <c:pt idx="2">
                  <c:v>F103</c:v>
                </c:pt>
                <c:pt idx="3">
                  <c:v>F104</c:v>
                </c:pt>
                <c:pt idx="4">
                  <c:v>F105</c:v>
                </c:pt>
                <c:pt idx="5">
                  <c:v>F106</c:v>
                </c:pt>
                <c:pt idx="6">
                  <c:v>F107</c:v>
                </c:pt>
                <c:pt idx="7">
                  <c:v>F108</c:v>
                </c:pt>
                <c:pt idx="8">
                  <c:v>F109</c:v>
                </c:pt>
                <c:pt idx="9">
                  <c:v>F110</c:v>
                </c:pt>
                <c:pt idx="10">
                  <c:v>F111</c:v>
                </c:pt>
                <c:pt idx="11">
                  <c:v>F112</c:v>
                </c:pt>
                <c:pt idx="12">
                  <c:v>F113</c:v>
                </c:pt>
                <c:pt idx="13">
                  <c:v>F114</c:v>
                </c:pt>
                <c:pt idx="14">
                  <c:v>F115</c:v>
                </c:pt>
              </c:strCache>
            </c:strRef>
          </c:cat>
          <c:val>
            <c:numRef>
              <c:f>'Fitness Tracker Data'!$B$2:$B$16</c:f>
              <c:numCache>
                <c:formatCode>#,##0</c:formatCode>
                <c:ptCount val="15"/>
                <c:pt idx="0">
                  <c:v>180</c:v>
                </c:pt>
                <c:pt idx="1">
                  <c:v>260</c:v>
                </c:pt>
                <c:pt idx="2">
                  <c:v>300</c:v>
                </c:pt>
                <c:pt idx="3">
                  <c:v>420</c:v>
                </c:pt>
                <c:pt idx="4">
                  <c:v>500</c:v>
                </c:pt>
                <c:pt idx="5">
                  <c:v>590</c:v>
                </c:pt>
                <c:pt idx="6">
                  <c:v>660</c:v>
                </c:pt>
                <c:pt idx="7">
                  <c:v>740</c:v>
                </c:pt>
                <c:pt idx="8">
                  <c:v>820</c:v>
                </c:pt>
                <c:pt idx="9">
                  <c:v>910</c:v>
                </c:pt>
                <c:pt idx="10">
                  <c:v>300</c:v>
                </c:pt>
                <c:pt idx="11">
                  <c:v>470</c:v>
                </c:pt>
                <c:pt idx="12">
                  <c:v>620</c:v>
                </c:pt>
                <c:pt idx="13">
                  <c:v>790</c:v>
                </c:pt>
                <c:pt idx="14">
                  <c:v>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C-4E2F-A789-4CF052FE7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388620</xdr:colOff>
      <xdr:row>3</xdr:row>
      <xdr:rowOff>0</xdr:rowOff>
    </xdr:from>
    <xdr:to>
      <xdr:col>7</xdr:col>
      <xdr:colOff>220980</xdr:colOff>
      <xdr:row>15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1EB053-8DD2-452E-8E49-54A777A052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441960</xdr:colOff>
      <xdr:row>3</xdr:row>
      <xdr:rowOff>30480</xdr:rowOff>
    </xdr:from>
    <xdr:to>
      <xdr:col>12</xdr:col>
      <xdr:colOff>129540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F5BEEB-747B-6595-299F-A4E7834F9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135CF-F28E-40B6-A181-5B34299AC0AE}">
  <dimension ref="A1:B15"/>
  <sheetViews>
    <sheetView workbookViewId="0">
      <selection sqref="A1:B15"/>
    </sheetView>
  </sheetViews>
  <sheetFormatPr defaultRowHeight="14.4" x14ac:dyDescent="0.3"/>
  <sheetData>
    <row r="1" spans="1:2" x14ac:dyDescent="0.3">
      <c r="A1" s="14" t="s">
        <v>25</v>
      </c>
      <c r="B1" s="14"/>
    </row>
    <row r="2" spans="1:2" x14ac:dyDescent="0.3">
      <c r="A2" s="11"/>
      <c r="B2" s="11"/>
    </row>
    <row r="3" spans="1:2" x14ac:dyDescent="0.3">
      <c r="A3" s="11" t="s">
        <v>26</v>
      </c>
      <c r="B3" s="11">
        <v>561.33333333333337</v>
      </c>
    </row>
    <row r="4" spans="1:2" x14ac:dyDescent="0.3">
      <c r="A4" s="11" t="s">
        <v>27</v>
      </c>
      <c r="B4" s="11">
        <v>60.975144558813895</v>
      </c>
    </row>
    <row r="5" spans="1:2" x14ac:dyDescent="0.3">
      <c r="A5" s="11" t="s">
        <v>28</v>
      </c>
      <c r="B5" s="11">
        <v>590</v>
      </c>
    </row>
    <row r="6" spans="1:2" x14ac:dyDescent="0.3">
      <c r="A6" s="11" t="s">
        <v>29</v>
      </c>
      <c r="B6" s="11">
        <v>300</v>
      </c>
    </row>
    <row r="7" spans="1:2" x14ac:dyDescent="0.3">
      <c r="A7" s="11" t="s">
        <v>30</v>
      </c>
      <c r="B7" s="11">
        <v>236.15571940887602</v>
      </c>
    </row>
    <row r="8" spans="1:2" x14ac:dyDescent="0.3">
      <c r="A8" s="11" t="s">
        <v>31</v>
      </c>
      <c r="B8" s="11">
        <v>55769.523809523787</v>
      </c>
    </row>
    <row r="9" spans="1:2" x14ac:dyDescent="0.3">
      <c r="A9" s="11" t="s">
        <v>32</v>
      </c>
      <c r="B9" s="11">
        <v>-1.2863063547541644</v>
      </c>
    </row>
    <row r="10" spans="1:2" x14ac:dyDescent="0.3">
      <c r="A10" s="11" t="s">
        <v>33</v>
      </c>
      <c r="B10" s="11">
        <v>-0.10727896058367857</v>
      </c>
    </row>
    <row r="11" spans="1:2" x14ac:dyDescent="0.3">
      <c r="A11" s="11" t="s">
        <v>34</v>
      </c>
      <c r="B11" s="11">
        <v>730</v>
      </c>
    </row>
    <row r="12" spans="1:2" x14ac:dyDescent="0.3">
      <c r="A12" s="11" t="s">
        <v>35</v>
      </c>
      <c r="B12" s="11">
        <v>180</v>
      </c>
    </row>
    <row r="13" spans="1:2" x14ac:dyDescent="0.3">
      <c r="A13" s="11" t="s">
        <v>36</v>
      </c>
      <c r="B13" s="11">
        <v>910</v>
      </c>
    </row>
    <row r="14" spans="1:2" x14ac:dyDescent="0.3">
      <c r="A14" s="11" t="s">
        <v>37</v>
      </c>
      <c r="B14" s="11">
        <v>8420</v>
      </c>
    </row>
    <row r="15" spans="1:2" ht="15" thickBot="1" x14ac:dyDescent="0.35">
      <c r="A15" s="12" t="s">
        <v>38</v>
      </c>
      <c r="B15" s="12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F3A01-53AA-4391-AE3E-523553F45129}">
  <dimension ref="A1:I18"/>
  <sheetViews>
    <sheetView workbookViewId="0">
      <selection sqref="A1:I21"/>
    </sheetView>
  </sheetViews>
  <sheetFormatPr defaultRowHeight="14.4" x14ac:dyDescent="0.3"/>
  <sheetData>
    <row r="1" spans="1:9" x14ac:dyDescent="0.3">
      <c r="A1" t="s">
        <v>39</v>
      </c>
    </row>
    <row r="2" spans="1:9" ht="15" thickBot="1" x14ac:dyDescent="0.35"/>
    <row r="3" spans="1:9" x14ac:dyDescent="0.3">
      <c r="A3" s="14" t="s">
        <v>40</v>
      </c>
      <c r="B3" s="14"/>
    </row>
    <row r="4" spans="1:9" x14ac:dyDescent="0.3">
      <c r="A4" s="11" t="s">
        <v>41</v>
      </c>
      <c r="B4" s="11">
        <v>0.99560775528011403</v>
      </c>
    </row>
    <row r="5" spans="1:9" x14ac:dyDescent="0.3">
      <c r="A5" s="11" t="s">
        <v>42</v>
      </c>
      <c r="B5" s="11">
        <v>0.99123480237390749</v>
      </c>
    </row>
    <row r="6" spans="1:9" x14ac:dyDescent="0.3">
      <c r="A6" s="11" t="s">
        <v>43</v>
      </c>
      <c r="B6" s="11">
        <v>0.9905605564026696</v>
      </c>
    </row>
    <row r="7" spans="1:9" x14ac:dyDescent="0.3">
      <c r="A7" s="11" t="s">
        <v>27</v>
      </c>
      <c r="B7" s="11">
        <v>22.944133769876256</v>
      </c>
    </row>
    <row r="8" spans="1:9" ht="15" thickBot="1" x14ac:dyDescent="0.35">
      <c r="A8" s="12" t="s">
        <v>44</v>
      </c>
      <c r="B8" s="12">
        <v>15</v>
      </c>
    </row>
    <row r="10" spans="1:9" ht="15" thickBot="1" x14ac:dyDescent="0.35">
      <c r="A10" t="s">
        <v>45</v>
      </c>
    </row>
    <row r="11" spans="1:9" x14ac:dyDescent="0.3">
      <c r="A11" s="13"/>
      <c r="B11" s="13" t="s">
        <v>50</v>
      </c>
      <c r="C11" s="13" t="s">
        <v>51</v>
      </c>
      <c r="D11" s="13" t="s">
        <v>52</v>
      </c>
      <c r="E11" s="13" t="s">
        <v>53</v>
      </c>
      <c r="F11" s="13" t="s">
        <v>54</v>
      </c>
    </row>
    <row r="12" spans="1:9" x14ac:dyDescent="0.3">
      <c r="A12" s="11" t="s">
        <v>46</v>
      </c>
      <c r="B12" s="11">
        <v>1</v>
      </c>
      <c r="C12" s="11">
        <v>773929.70076548355</v>
      </c>
      <c r="D12" s="11">
        <v>773929.70076548355</v>
      </c>
      <c r="E12" s="11">
        <v>1470.1382650519097</v>
      </c>
      <c r="F12" s="11">
        <v>9.2519208376583671E-15</v>
      </c>
    </row>
    <row r="13" spans="1:9" x14ac:dyDescent="0.3">
      <c r="A13" s="11" t="s">
        <v>47</v>
      </c>
      <c r="B13" s="11">
        <v>13</v>
      </c>
      <c r="C13" s="11">
        <v>6843.6325678496878</v>
      </c>
      <c r="D13" s="11">
        <v>526.43327444997601</v>
      </c>
      <c r="E13" s="11"/>
      <c r="F13" s="11"/>
    </row>
    <row r="14" spans="1:9" ht="15" thickBot="1" x14ac:dyDescent="0.35">
      <c r="A14" s="12" t="s">
        <v>48</v>
      </c>
      <c r="B14" s="12">
        <v>14</v>
      </c>
      <c r="C14" s="12">
        <v>780773.33333333326</v>
      </c>
      <c r="D14" s="12"/>
      <c r="E14" s="12"/>
      <c r="F14" s="12"/>
    </row>
    <row r="15" spans="1:9" ht="15" thickBot="1" x14ac:dyDescent="0.35"/>
    <row r="16" spans="1:9" x14ac:dyDescent="0.3">
      <c r="A16" s="13"/>
      <c r="B16" s="13" t="s">
        <v>55</v>
      </c>
      <c r="C16" s="13" t="s">
        <v>27</v>
      </c>
      <c r="D16" s="13" t="s">
        <v>56</v>
      </c>
      <c r="E16" s="13" t="s">
        <v>57</v>
      </c>
      <c r="F16" s="13" t="s">
        <v>58</v>
      </c>
      <c r="G16" s="13" t="s">
        <v>59</v>
      </c>
      <c r="H16" s="13" t="s">
        <v>60</v>
      </c>
      <c r="I16" s="13" t="s">
        <v>61</v>
      </c>
    </row>
    <row r="17" spans="1:9" x14ac:dyDescent="0.3">
      <c r="A17" s="11" t="s">
        <v>49</v>
      </c>
      <c r="B17" s="11">
        <v>104.67640918580378</v>
      </c>
      <c r="C17" s="11">
        <v>13.301997054961358</v>
      </c>
      <c r="D17" s="11">
        <v>7.869225106072455</v>
      </c>
      <c r="E17" s="11">
        <v>2.6771319748281817E-6</v>
      </c>
      <c r="F17" s="11">
        <v>75.93919167990488</v>
      </c>
      <c r="G17" s="11">
        <v>133.41362669170266</v>
      </c>
      <c r="H17" s="11">
        <v>75.93919167990488</v>
      </c>
      <c r="I17" s="11">
        <v>133.41362669170266</v>
      </c>
    </row>
    <row r="18" spans="1:9" ht="15" thickBot="1" x14ac:dyDescent="0.35">
      <c r="A18" s="12" t="s">
        <v>62</v>
      </c>
      <c r="B18" s="12">
        <v>77.839248434238002</v>
      </c>
      <c r="C18" s="12">
        <v>2.0301098724790667</v>
      </c>
      <c r="D18" s="12">
        <v>38.342382099341592</v>
      </c>
      <c r="E18" s="12">
        <v>9.2519208376583671E-15</v>
      </c>
      <c r="F18" s="12">
        <v>73.453462696558546</v>
      </c>
      <c r="G18" s="12">
        <v>82.225034171917457</v>
      </c>
      <c r="H18" s="12">
        <v>73.453462696558546</v>
      </c>
      <c r="I18" s="12">
        <v>82.225034171917457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G21" sqref="G21"/>
    </sheetView>
  </sheetViews>
  <sheetFormatPr defaultRowHeight="14.4" x14ac:dyDescent="0.3"/>
  <cols>
    <col min="1" max="1" width="17.33203125" customWidth="1"/>
    <col min="2" max="2" width="18" customWidth="1"/>
    <col min="3" max="3" width="20" customWidth="1"/>
    <col min="4" max="4" width="18" customWidth="1"/>
    <col min="5" max="5" width="17.44140625" customWidth="1"/>
    <col min="6" max="6" width="16" customWidth="1"/>
    <col min="7" max="7" width="17.6640625" customWidth="1"/>
    <col min="8" max="8" width="16.77734375" customWidth="1"/>
    <col min="9" max="9" width="20" customWidth="1"/>
    <col min="10" max="10" width="16.6640625" customWidth="1"/>
  </cols>
  <sheetData>
    <row r="1" spans="1:10" ht="16.8" x14ac:dyDescent="0.3">
      <c r="A1" s="1" t="s">
        <v>0</v>
      </c>
      <c r="B1" s="1" t="s">
        <v>1</v>
      </c>
      <c r="C1" s="1" t="s">
        <v>2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23</v>
      </c>
      <c r="J1" s="9" t="s">
        <v>24</v>
      </c>
    </row>
    <row r="2" spans="1:10" ht="16.8" x14ac:dyDescent="0.3">
      <c r="A2" s="2" t="s">
        <v>3</v>
      </c>
      <c r="B2" s="3">
        <v>180</v>
      </c>
      <c r="C2" s="3">
        <v>1</v>
      </c>
      <c r="D2" s="10">
        <f>AVERAGE(B2:B16)</f>
        <v>561.33333333333337</v>
      </c>
      <c r="E2" s="10">
        <f>MEDIAN(B2:B16)</f>
        <v>590</v>
      </c>
      <c r="F2">
        <f>_xlfn.MODE.SNGL(B2:B16)</f>
        <v>300</v>
      </c>
      <c r="G2">
        <f>_xlfn.VAR.S(B2:B16)</f>
        <v>55769.523809523787</v>
      </c>
      <c r="H2" s="10">
        <f>MAX(B2:B16)-MIN(B2:B16)</f>
        <v>730</v>
      </c>
      <c r="I2">
        <f>_xlfn.STDEV.S(B2:B16)</f>
        <v>236.15571940887602</v>
      </c>
      <c r="J2">
        <f>CORREL(B2:B16,C2:C16)</f>
        <v>0.99560775528011403</v>
      </c>
    </row>
    <row r="3" spans="1:10" ht="16.8" x14ac:dyDescent="0.3">
      <c r="A3" s="4" t="s">
        <v>4</v>
      </c>
      <c r="B3" s="5">
        <v>260</v>
      </c>
      <c r="C3" s="5">
        <v>2</v>
      </c>
    </row>
    <row r="4" spans="1:10" ht="16.8" x14ac:dyDescent="0.3">
      <c r="A4" s="2" t="s">
        <v>5</v>
      </c>
      <c r="B4" s="3">
        <v>300</v>
      </c>
      <c r="C4" s="3">
        <v>3</v>
      </c>
    </row>
    <row r="5" spans="1:10" ht="16.8" x14ac:dyDescent="0.3">
      <c r="A5" s="4" t="s">
        <v>6</v>
      </c>
      <c r="B5" s="5">
        <v>420</v>
      </c>
      <c r="C5" s="5">
        <v>4</v>
      </c>
    </row>
    <row r="6" spans="1:10" ht="16.8" x14ac:dyDescent="0.3">
      <c r="A6" s="2" t="s">
        <v>7</v>
      </c>
      <c r="B6" s="3">
        <v>500</v>
      </c>
      <c r="C6" s="3">
        <v>5</v>
      </c>
    </row>
    <row r="7" spans="1:10" ht="16.8" x14ac:dyDescent="0.3">
      <c r="A7" s="4" t="s">
        <v>8</v>
      </c>
      <c r="B7" s="5">
        <v>590</v>
      </c>
      <c r="C7" s="5">
        <v>6</v>
      </c>
    </row>
    <row r="8" spans="1:10" ht="16.8" x14ac:dyDescent="0.3">
      <c r="A8" s="2" t="s">
        <v>9</v>
      </c>
      <c r="B8" s="3">
        <v>660</v>
      </c>
      <c r="C8" s="3">
        <v>7</v>
      </c>
    </row>
    <row r="9" spans="1:10" ht="16.8" x14ac:dyDescent="0.3">
      <c r="A9" s="4" t="s">
        <v>10</v>
      </c>
      <c r="B9" s="5">
        <v>740</v>
      </c>
      <c r="C9" s="5">
        <v>8</v>
      </c>
    </row>
    <row r="10" spans="1:10" ht="16.8" x14ac:dyDescent="0.3">
      <c r="A10" s="2" t="s">
        <v>11</v>
      </c>
      <c r="B10" s="3">
        <v>820</v>
      </c>
      <c r="C10" s="3">
        <v>9</v>
      </c>
    </row>
    <row r="11" spans="1:10" ht="16.8" x14ac:dyDescent="0.3">
      <c r="A11" s="4" t="s">
        <v>12</v>
      </c>
      <c r="B11" s="5">
        <v>910</v>
      </c>
      <c r="C11" s="5">
        <v>10</v>
      </c>
    </row>
    <row r="12" spans="1:10" ht="16.8" x14ac:dyDescent="0.3">
      <c r="A12" s="2" t="s">
        <v>13</v>
      </c>
      <c r="B12" s="3">
        <v>300</v>
      </c>
      <c r="C12" s="3">
        <v>2</v>
      </c>
    </row>
    <row r="13" spans="1:10" ht="16.8" x14ac:dyDescent="0.3">
      <c r="A13" s="4" t="s">
        <v>14</v>
      </c>
      <c r="B13" s="5">
        <v>470</v>
      </c>
      <c r="C13" s="5">
        <v>5</v>
      </c>
    </row>
    <row r="14" spans="1:10" ht="16.8" x14ac:dyDescent="0.3">
      <c r="A14" s="2" t="s">
        <v>15</v>
      </c>
      <c r="B14" s="3">
        <v>620</v>
      </c>
      <c r="C14" s="3">
        <v>7</v>
      </c>
    </row>
    <row r="15" spans="1:10" ht="16.8" x14ac:dyDescent="0.3">
      <c r="A15" s="4" t="s">
        <v>16</v>
      </c>
      <c r="B15" s="5">
        <v>790</v>
      </c>
      <c r="C15" s="5">
        <v>9</v>
      </c>
    </row>
    <row r="16" spans="1:10" ht="16.8" x14ac:dyDescent="0.3">
      <c r="A16" s="2" t="s">
        <v>17</v>
      </c>
      <c r="B16" s="3">
        <v>860</v>
      </c>
      <c r="C16" s="3">
        <v>10</v>
      </c>
    </row>
    <row r="17" spans="1:3" ht="17.399999999999999" thickBot="1" x14ac:dyDescent="0.35">
      <c r="A17" s="6"/>
      <c r="B17" s="7"/>
      <c r="C17" s="8"/>
    </row>
    <row r="18" spans="1:3" ht="15" thickTop="1" x14ac:dyDescent="0.3"/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Descriptive Analysis</vt:lpstr>
      <vt:lpstr>Regression Analysis</vt:lpstr>
      <vt:lpstr>Fitness Tracker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Kancharla Subbareddy</cp:lastModifiedBy>
  <dcterms:created xsi:type="dcterms:W3CDTF">2026-05-26T18:23:27Z</dcterms:created>
  <dcterms:modified xsi:type="dcterms:W3CDTF">2026-05-26T18:34:21Z</dcterms:modified>
</cp:coreProperties>
</file>