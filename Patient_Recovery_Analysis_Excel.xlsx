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945c242bfc7e0b/Desktop/"/>
    </mc:Choice>
  </mc:AlternateContent>
  <xr:revisionPtr revIDLastSave="0" documentId="8_{7028A1C1-944E-4613-900E-4612E2BB04B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escriptive Analysis" sheetId="2" r:id="rId1"/>
    <sheet name="Regression Analysis" sheetId="3" r:id="rId2"/>
    <sheet name="Patient Recovery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<sst xmlns="http://schemas.openxmlformats.org/spreadsheetml/2006/main" count="65" uniqueCount="63">
  <si>
    <t>Patient ID</t>
  </si>
  <si>
    <t>Recovery Days</t>
  </si>
  <si>
    <t>Medicine Dose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</si>
  <si>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</si>
  <si>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</si>
  <si>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</si>
  <si>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</si>
  <si>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</si>
  <si>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</si>
  <si>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</si>
  <si>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</si>
  <si>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</si>
  <si>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</si>
  <si>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</si>
  <si>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</si>
  <si>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</si>
  <si>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</si>
  <si>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</si>
  <si>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MEAN</t>
  </si>
  <si>
    <t>MEDIAN</t>
  </si>
  <si>
    <t>MODE</t>
  </si>
  <si>
    <t>VARIANCE</t>
  </si>
  <si>
    <t>RANGE</t>
  </si>
  <si>
    <t>STD VARIATION</t>
  </si>
  <si>
    <t>CORRELATION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</si>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</sst>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Fill="1" applyBorder="1" applyAlignment="1"/>
    <xf numFmtId="0" fontId="0" fillId="0" borderId="4" xfId="0" applyFill="1" applyBorder="1" applyAlignment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'Patient Recovery Data'!$B$1</c:f>
              <c:strCache>
                <c:ptCount val="1"/>
                <c:pt idx="0">
                  <c:v>Recovery Days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'Patient Recovery Data'!$A$2:$A$16</c:f>
              <c:strCache>
                <c:ptCount val="15"/>
                <c:pt idx="0">
                  <c:v>P201</c:v>
                </c:pt>
                <c:pt idx="1">
                  <c:v>P202</c:v>
                </c:pt>
                <c:pt idx="2">
                  <c:v>P203</c:v>
                </c:pt>
                <c:pt idx="3">
                  <c:v>P204</c:v>
                </c:pt>
                <c:pt idx="4">
                  <c:v>P205</c:v>
                </c:pt>
                <c:pt idx="5">
                  <c:v>P206</c:v>
                </c:pt>
                <c:pt idx="6">
                  <c:v>P207</c:v>
                </c:pt>
                <c:pt idx="7">
                  <c:v>P208</c:v>
                </c:pt>
                <c:pt idx="8">
                  <c:v>P209</c:v>
                </c:pt>
                <c:pt idx="9">
                  <c:v>P210</c:v>
                </c:pt>
                <c:pt idx="10">
                  <c:v>P211</c:v>
                </c:pt>
                <c:pt idx="11">
                  <c:v>P212</c:v>
                </c:pt>
                <c:pt idx="12">
                  <c:v>P213</c:v>
                </c:pt>
                <c:pt idx="13">
                  <c:v>P214</c:v>
                </c:pt>
                <c:pt idx="14">
                  <c:v>P215</c:v>
                </c:pt>
              </c:strCache>
            </c:strRef>
          </c:cat>
          <c:val>
            <c:numRef>
              <c:f>'Patient Recovery Data'!$B$2:$B$16</c:f>
              <c:numCache>
                <c:formatCode>#,##0</c:formatCode>
                <c:ptCount val="15"/>
                <c:pt idx="0">
                  <c:v>28</c:v>
                </c:pt>
                <c:pt idx="1">
                  <c:v>24</c:v>
                </c:pt>
                <c:pt idx="2">
                  <c:v>22</c:v>
                </c:pt>
                <c:pt idx="3">
                  <c:v>20</c:v>
                </c:pt>
                <c:pt idx="4">
                  <c:v>18</c:v>
                </c:pt>
                <c:pt idx="5">
                  <c:v>16</c:v>
                </c:pt>
                <c:pt idx="6">
                  <c:v>14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24</c:v>
                </c:pt>
                <c:pt idx="11">
                  <c:v>19</c:v>
                </c:pt>
                <c:pt idx="12">
                  <c:v>15</c:v>
                </c:pt>
                <c:pt idx="13">
                  <c:v>11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8-4082-AD10-FA861E3DF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41152976"/>
        <c:axId val="341153456"/>
        <c:axId val="0"/>
      </c:bar3DChart>
      <c:catAx>
        <c:axId val="3411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53456"/>
        <c:crosses val="autoZero"/>
        <c:auto val="1"/>
        <c:lblAlgn val="ctr"/>
        <c:lblOffset val="100"/>
        <c:noMultiLvlLbl val="0"/>
      </c:catAx>
      <c:valAx>
        <c:axId val="34115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5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'Patient Recovery Data'!$B$1</c:f>
              <c:strCache>
                <c:ptCount val="1"/>
                <c:pt idx="0">
                  <c:v>Recovery Days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</c:dPt>
          <c:cat>
            <c:strRef>
              <c:f>'Patient Recovery Data'!$A$2:$A$16</c:f>
              <c:strCache>
                <c:ptCount val="15"/>
                <c:pt idx="0">
                  <c:v>P201</c:v>
                </c:pt>
                <c:pt idx="1">
                  <c:v>P202</c:v>
                </c:pt>
                <c:pt idx="2">
                  <c:v>P203</c:v>
                </c:pt>
                <c:pt idx="3">
                  <c:v>P204</c:v>
                </c:pt>
                <c:pt idx="4">
                  <c:v>P205</c:v>
                </c:pt>
                <c:pt idx="5">
                  <c:v>P206</c:v>
                </c:pt>
                <c:pt idx="6">
                  <c:v>P207</c:v>
                </c:pt>
                <c:pt idx="7">
                  <c:v>P208</c:v>
                </c:pt>
                <c:pt idx="8">
                  <c:v>P209</c:v>
                </c:pt>
                <c:pt idx="9">
                  <c:v>P210</c:v>
                </c:pt>
                <c:pt idx="10">
                  <c:v>P211</c:v>
                </c:pt>
                <c:pt idx="11">
                  <c:v>P212</c:v>
                </c:pt>
                <c:pt idx="12">
                  <c:v>P213</c:v>
                </c:pt>
                <c:pt idx="13">
                  <c:v>P214</c:v>
                </c:pt>
                <c:pt idx="14">
                  <c:v>P215</c:v>
                </c:pt>
              </c:strCache>
            </c:strRef>
          </c:cat>
          <c:val>
            <c:numRef>
              <c:f>'Patient Recovery Data'!$B$2:$B$16</c:f>
              <c:numCache>
                <c:formatCode>#,##0</c:formatCode>
                <c:ptCount val="15"/>
                <c:pt idx="0">
                  <c:v>28</c:v>
                </c:pt>
                <c:pt idx="1">
                  <c:v>24</c:v>
                </c:pt>
                <c:pt idx="2">
                  <c:v>22</c:v>
                </c:pt>
                <c:pt idx="3">
                  <c:v>20</c:v>
                </c:pt>
                <c:pt idx="4">
                  <c:v>18</c:v>
                </c:pt>
                <c:pt idx="5">
                  <c:v>16</c:v>
                </c:pt>
                <c:pt idx="6">
                  <c:v>14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24</c:v>
                </c:pt>
                <c:pt idx="11">
                  <c:v>19</c:v>
                </c:pt>
                <c:pt idx="12">
                  <c:v>15</c:v>
                </c:pt>
                <c:pt idx="13">
                  <c:v>11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2-4221-9A53-30610314B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3</xdr:row>
      <xdr:rowOff>15240</xdr:rowOff>
    </xdr:from>
    <xdr:to>
      <xdr:col>7</xdr:col>
      <xdr:colOff>236220</xdr:colOff>
      <xdr:row>15</xdr:row>
      <xdr:rowOff>198120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A89EA-8271-B6E0-B417-A5C89B294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3</xdr:row>
      <xdr:rowOff>7620</xdr:rowOff>
    </xdr:from>
    <xdr:to>
      <xdr:col>12</xdr:col>
      <xdr:colOff>175260</xdr:colOff>
      <xdr:row>15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B38B4B-C87D-3982-73B2-75AF05861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9EF3-E05C-47C4-A14A-5D85C20D4F5D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s="13" t="s">
        <v>25</v>
      </c>
      <c r="B1" s="13"/>
    </row>
    <row r="2" spans="1:2" x14ac:dyDescent="0.3">
      <c r="A2" s="10"/>
      <c r="B2" s="10"/>
    </row>
    <row r="3" spans="1:2" x14ac:dyDescent="0.3">
      <c r="A3" s="10" t="s">
        <v>26</v>
      </c>
      <c r="B3" s="10">
        <v>16.666666666666668</v>
      </c>
    </row>
    <row r="4" spans="1:2" x14ac:dyDescent="0.3">
      <c r="A4" s="10" t="s">
        <v>27</v>
      </c>
      <c r="B4" s="10">
        <v>1.5816406992700016</v>
      </c>
    </row>
    <row r="5" spans="1:2" x14ac:dyDescent="0.3">
      <c r="A5" s="10" t="s">
        <v>28</v>
      </c>
      <c r="B5" s="10">
        <v>16</v>
      </c>
    </row>
    <row r="6" spans="1:2" x14ac:dyDescent="0.3">
      <c r="A6" s="10" t="s">
        <v>29</v>
      </c>
      <c r="B6" s="10">
        <v>24</v>
      </c>
    </row>
    <row r="7" spans="1:2" x14ac:dyDescent="0.3">
      <c r="A7" s="10" t="s">
        <v>30</v>
      </c>
      <c r="B7" s="10">
        <v>6.1256680879565701</v>
      </c>
    </row>
    <row r="8" spans="1:2" x14ac:dyDescent="0.3">
      <c r="A8" s="10" t="s">
        <v>31</v>
      </c>
      <c r="B8" s="10">
        <v>37.523809523809504</v>
      </c>
    </row>
    <row r="9" spans="1:2" x14ac:dyDescent="0.3">
      <c r="A9" s="10" t="s">
        <v>32</v>
      </c>
      <c r="B9" s="10">
        <v>-0.96873544399891465</v>
      </c>
    </row>
    <row r="10" spans="1:2" x14ac:dyDescent="0.3">
      <c r="A10" s="10" t="s">
        <v>33</v>
      </c>
      <c r="B10" s="10">
        <v>0.26636879727220159</v>
      </c>
    </row>
    <row r="11" spans="1:2" x14ac:dyDescent="0.3">
      <c r="A11" s="10" t="s">
        <v>34</v>
      </c>
      <c r="B11" s="10">
        <v>20</v>
      </c>
    </row>
    <row r="12" spans="1:2" x14ac:dyDescent="0.3">
      <c r="A12" s="10" t="s">
        <v>35</v>
      </c>
      <c r="B12" s="10">
        <v>8</v>
      </c>
    </row>
    <row r="13" spans="1:2" x14ac:dyDescent="0.3">
      <c r="A13" s="10" t="s">
        <v>36</v>
      </c>
      <c r="B13" s="10">
        <v>28</v>
      </c>
    </row>
    <row r="14" spans="1:2" x14ac:dyDescent="0.3">
      <c r="A14" s="10" t="s">
        <v>37</v>
      </c>
      <c r="B14" s="10">
        <v>250</v>
      </c>
    </row>
    <row r="15" spans="1:2" ht="15" thickBot="1" x14ac:dyDescent="0.35">
      <c r="A15" s="11" t="s">
        <v>38</v>
      </c>
      <c r="B15" s="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37B5-2FE0-4062-B756-29278562AA8C}">
  <dimension ref="A1:I18"/>
  <sheetViews>
    <sheetView workbookViewId="0">
      <selection activeCell="J25" sqref="J25"/>
    </sheetView>
  </sheetViews>
  <sheetFormatPr defaultRowHeight="14.4" x14ac:dyDescent="0.3"/>
  <sheetData>
    <row r="1" spans="1:9" x14ac:dyDescent="0.3">
      <c r="A1" t="s">
        <v>39</v>
      </c>
    </row>
    <row r="2" spans="1:9" ht="15" thickBot="1" x14ac:dyDescent="0.35"/>
    <row r="3" spans="1:9" x14ac:dyDescent="0.3">
      <c r="A3" s="13" t="s">
        <v>40</v>
      </c>
      <c r="B3" s="13"/>
    </row>
    <row r="4" spans="1:9" x14ac:dyDescent="0.3">
      <c r="A4" s="10" t="s">
        <v>41</v>
      </c>
      <c r="B4" s="10">
        <v>0.99469202766455855</v>
      </c>
    </row>
    <row r="5" spans="1:9" x14ac:dyDescent="0.3">
      <c r="A5" s="10" t="s">
        <v>42</v>
      </c>
      <c r="B5" s="10">
        <v>0.98941222989943101</v>
      </c>
    </row>
    <row r="6" spans="1:9" x14ac:dyDescent="0.3">
      <c r="A6" s="10" t="s">
        <v>43</v>
      </c>
      <c r="B6" s="10">
        <v>0.98859778604554116</v>
      </c>
    </row>
    <row r="7" spans="1:9" x14ac:dyDescent="0.3">
      <c r="A7" s="10" t="s">
        <v>27</v>
      </c>
      <c r="B7" s="10">
        <v>0.65410588177820272</v>
      </c>
    </row>
    <row r="8" spans="1:9" ht="15" thickBot="1" x14ac:dyDescent="0.35">
      <c r="A8" s="11" t="s">
        <v>44</v>
      </c>
      <c r="B8" s="11">
        <v>15</v>
      </c>
    </row>
    <row r="10" spans="1:9" ht="15" thickBot="1" x14ac:dyDescent="0.35">
      <c r="A10" t="s">
        <v>45</v>
      </c>
    </row>
    <row r="11" spans="1:9" x14ac:dyDescent="0.3">
      <c r="A11" s="12"/>
      <c r="B11" s="12" t="s">
        <v>50</v>
      </c>
      <c r="C11" s="12" t="s">
        <v>51</v>
      </c>
      <c r="D11" s="12" t="s">
        <v>52</v>
      </c>
      <c r="E11" s="12" t="s">
        <v>53</v>
      </c>
      <c r="F11" s="12" t="s">
        <v>54</v>
      </c>
    </row>
    <row r="12" spans="1:9" x14ac:dyDescent="0.3">
      <c r="A12" s="10" t="s">
        <v>46</v>
      </c>
      <c r="B12" s="10">
        <v>1</v>
      </c>
      <c r="C12" s="10">
        <v>519.77122477383443</v>
      </c>
      <c r="D12" s="10">
        <v>519.77122477383443</v>
      </c>
      <c r="E12" s="10">
        <v>1214.8317224985219</v>
      </c>
      <c r="F12" s="10">
        <v>3.1612294760087905E-14</v>
      </c>
    </row>
    <row r="13" spans="1:9" x14ac:dyDescent="0.3">
      <c r="A13" s="10" t="s">
        <v>47</v>
      </c>
      <c r="B13" s="10">
        <v>13</v>
      </c>
      <c r="C13" s="10">
        <v>5.5621085594989212</v>
      </c>
      <c r="D13" s="10">
        <v>0.4278545045768401</v>
      </c>
      <c r="E13" s="10"/>
      <c r="F13" s="10"/>
    </row>
    <row r="14" spans="1:9" ht="15" thickBot="1" x14ac:dyDescent="0.35">
      <c r="A14" s="11" t="s">
        <v>48</v>
      </c>
      <c r="B14" s="11">
        <v>14</v>
      </c>
      <c r="C14" s="11">
        <v>525.33333333333337</v>
      </c>
      <c r="D14" s="11"/>
      <c r="E14" s="11"/>
      <c r="F14" s="11"/>
    </row>
    <row r="15" spans="1:9" ht="15" thickBot="1" x14ac:dyDescent="0.35"/>
    <row r="16" spans="1:9" x14ac:dyDescent="0.3">
      <c r="A16" s="12"/>
      <c r="B16" s="12" t="s">
        <v>55</v>
      </c>
      <c r="C16" s="12" t="s">
        <v>27</v>
      </c>
      <c r="D16" s="12" t="s">
        <v>56</v>
      </c>
      <c r="E16" s="12" t="s">
        <v>57</v>
      </c>
      <c r="F16" s="12" t="s">
        <v>58</v>
      </c>
      <c r="G16" s="12" t="s">
        <v>59</v>
      </c>
      <c r="H16" s="12" t="s">
        <v>60</v>
      </c>
      <c r="I16" s="12" t="s">
        <v>61</v>
      </c>
    </row>
    <row r="17" spans="1:9" x14ac:dyDescent="0.3">
      <c r="A17" s="10" t="s">
        <v>49</v>
      </c>
      <c r="B17" s="10">
        <v>28.501043841336113</v>
      </c>
      <c r="C17" s="10">
        <v>0.37922174793411173</v>
      </c>
      <c r="D17" s="10">
        <v>75.156670197849664</v>
      </c>
      <c r="E17" s="10">
        <v>1.5262363153327561E-18</v>
      </c>
      <c r="F17" s="10">
        <v>27.681785063250224</v>
      </c>
      <c r="G17" s="10">
        <v>29.320302619422002</v>
      </c>
      <c r="H17" s="10">
        <v>27.681785063250224</v>
      </c>
      <c r="I17" s="10">
        <v>29.320302619422002</v>
      </c>
    </row>
    <row r="18" spans="1:9" ht="15" thickBot="1" x14ac:dyDescent="0.35">
      <c r="A18" s="11" t="s">
        <v>62</v>
      </c>
      <c r="B18" s="11">
        <v>-2.0172233820459282</v>
      </c>
      <c r="C18" s="11">
        <v>5.7875656652071387E-2</v>
      </c>
      <c r="D18" s="11">
        <v>-34.854436195390122</v>
      </c>
      <c r="E18" s="11">
        <v>3.1612294760088019E-14</v>
      </c>
      <c r="F18" s="11">
        <v>-2.1422561366492654</v>
      </c>
      <c r="G18" s="11">
        <v>-1.8921906274425908</v>
      </c>
      <c r="H18" s="11">
        <v>-2.1422561366492654</v>
      </c>
      <c r="I18" s="11">
        <v>-1.8921906274425908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21" sqref="H21"/>
    </sheetView>
  </sheetViews>
  <sheetFormatPr defaultRowHeight="14.4" x14ac:dyDescent="0.3"/>
  <cols>
    <col min="1" max="1" width="17.109375" customWidth="1"/>
    <col min="2" max="4" width="18" customWidth="1"/>
    <col min="5" max="5" width="16.77734375" customWidth="1"/>
    <col min="6" max="6" width="16.109375" customWidth="1"/>
    <col min="7" max="7" width="17" customWidth="1"/>
    <col min="8" max="8" width="15.88671875" customWidth="1"/>
    <col min="9" max="9" width="19.88671875" customWidth="1"/>
    <col min="10" max="10" width="17.88671875" customWidth="1"/>
  </cols>
  <sheetData>
    <row r="1" spans="1:10" ht="16.8" x14ac:dyDescent="0.3">
      <c r="A1" s="1" t="s">
        <v>0</v>
      </c>
      <c r="B1" s="1" t="s">
        <v>1</v>
      </c>
      <c r="C1" s="1" t="s">
        <v>2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</row>
    <row r="2" spans="1:10" ht="16.8" x14ac:dyDescent="0.3">
      <c r="A2" s="2" t="s">
        <v>3</v>
      </c>
      <c r="B2" s="3">
        <v>28</v>
      </c>
      <c r="C2" s="3">
        <v>1</v>
      </c>
      <c r="D2" s="9">
        <f>AVERAGE(B2:B16)</f>
        <v>16.666666666666668</v>
      </c>
      <c r="E2" s="9">
        <f>MEDIAN(B2:B16)</f>
        <v>16</v>
      </c>
      <c r="F2">
        <f>_xlfn.MODE.SNGL(B2:B16)</f>
        <v>24</v>
      </c>
      <c r="G2">
        <f>_xlfn.VAR.S(B2:B16)</f>
        <v>37.523809523809504</v>
      </c>
      <c r="H2" s="9">
        <f>MAX(B2:B16)-MIN(B2:B16)</f>
        <v>20</v>
      </c>
      <c r="I2">
        <f>_xlfn.STDEV.S(B2:B16)</f>
        <v>6.1256680879565701</v>
      </c>
      <c r="J2">
        <f>CORREL(B2:B16,C2:C16)</f>
        <v>-0.99469202766455822</v>
      </c>
    </row>
    <row r="3" spans="1:10" ht="16.8" x14ac:dyDescent="0.3">
      <c r="A3" s="4" t="s">
        <v>4</v>
      </c>
      <c r="B3" s="5">
        <v>24</v>
      </c>
      <c r="C3" s="5">
        <v>2</v>
      </c>
    </row>
    <row r="4" spans="1:10" ht="16.8" x14ac:dyDescent="0.3">
      <c r="A4" s="2" t="s">
        <v>5</v>
      </c>
      <c r="B4" s="3">
        <v>22</v>
      </c>
      <c r="C4" s="3">
        <v>3</v>
      </c>
    </row>
    <row r="5" spans="1:10" ht="16.8" x14ac:dyDescent="0.3">
      <c r="A5" s="4" t="s">
        <v>6</v>
      </c>
      <c r="B5" s="5">
        <v>20</v>
      </c>
      <c r="C5" s="5">
        <v>4</v>
      </c>
    </row>
    <row r="6" spans="1:10" ht="16.8" x14ac:dyDescent="0.3">
      <c r="A6" s="2" t="s">
        <v>7</v>
      </c>
      <c r="B6" s="3">
        <v>18</v>
      </c>
      <c r="C6" s="3">
        <v>5</v>
      </c>
    </row>
    <row r="7" spans="1:10" ht="16.8" x14ac:dyDescent="0.3">
      <c r="A7" s="4" t="s">
        <v>8</v>
      </c>
      <c r="B7" s="5">
        <v>16</v>
      </c>
      <c r="C7" s="5">
        <v>6</v>
      </c>
    </row>
    <row r="8" spans="1:10" ht="16.8" x14ac:dyDescent="0.3">
      <c r="A8" s="2" t="s">
        <v>9</v>
      </c>
      <c r="B8" s="3">
        <v>14</v>
      </c>
      <c r="C8" s="3">
        <v>7</v>
      </c>
    </row>
    <row r="9" spans="1:10" ht="16.8" x14ac:dyDescent="0.3">
      <c r="A9" s="4" t="s">
        <v>10</v>
      </c>
      <c r="B9" s="5">
        <v>12</v>
      </c>
      <c r="C9" s="5">
        <v>8</v>
      </c>
    </row>
    <row r="10" spans="1:10" ht="16.8" x14ac:dyDescent="0.3">
      <c r="A10" s="2" t="s">
        <v>11</v>
      </c>
      <c r="B10" s="3">
        <v>10</v>
      </c>
      <c r="C10" s="3">
        <v>9</v>
      </c>
    </row>
    <row r="11" spans="1:10" ht="16.8" x14ac:dyDescent="0.3">
      <c r="A11" s="4" t="s">
        <v>12</v>
      </c>
      <c r="B11" s="5">
        <v>8</v>
      </c>
      <c r="C11" s="5">
        <v>10</v>
      </c>
    </row>
    <row r="12" spans="1:10" ht="16.8" x14ac:dyDescent="0.3">
      <c r="A12" s="2" t="s">
        <v>13</v>
      </c>
      <c r="B12" s="3">
        <v>24</v>
      </c>
      <c r="C12" s="3">
        <v>2</v>
      </c>
    </row>
    <row r="13" spans="1:10" ht="16.8" x14ac:dyDescent="0.3">
      <c r="A13" s="4" t="s">
        <v>14</v>
      </c>
      <c r="B13" s="5">
        <v>19</v>
      </c>
      <c r="C13" s="5">
        <v>5</v>
      </c>
    </row>
    <row r="14" spans="1:10" ht="16.8" x14ac:dyDescent="0.3">
      <c r="A14" s="2" t="s">
        <v>15</v>
      </c>
      <c r="B14" s="3">
        <v>15</v>
      </c>
      <c r="C14" s="3">
        <v>7</v>
      </c>
    </row>
    <row r="15" spans="1:10" ht="16.8" x14ac:dyDescent="0.3">
      <c r="A15" s="4" t="s">
        <v>16</v>
      </c>
      <c r="B15" s="5">
        <v>11</v>
      </c>
      <c r="C15" s="5">
        <v>9</v>
      </c>
    </row>
    <row r="16" spans="1:10" ht="16.8" x14ac:dyDescent="0.3">
      <c r="A16" s="2" t="s">
        <v>17</v>
      </c>
      <c r="B16" s="3">
        <v>9</v>
      </c>
      <c r="C16" s="3">
        <v>10</v>
      </c>
    </row>
    <row r="17" spans="1:3" ht="17.399999999999999" thickBot="1" x14ac:dyDescent="0.35">
      <c r="A17" s="6"/>
      <c r="B17" s="7"/>
      <c r="C17" s="7"/>
    </row>
    <row r="18" spans="1:3" ht="15" thickTop="1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 Analysis</vt:lpstr>
      <vt:lpstr>Regression Analysis</vt:lpstr>
      <vt:lpstr>Patient Recovery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Kancharla Subbareddy</cp:lastModifiedBy>
  <dcterms:created xsi:type="dcterms:W3CDTF">2026-05-26T18:03:42Z</dcterms:created>
  <dcterms:modified xsi:type="dcterms:W3CDTF">2026-05-26T18:18:02Z</dcterms:modified>
</cp:coreProperties>
</file>