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8_{24BC5CCD-7012-44DB-A860-1E6075736EF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escriptive Analysis" sheetId="2" r:id="rId1"/>
    <sheet name="Regression Analysis" sheetId="3" r:id="rId2"/>
    <sheet name="Student Dataset" sheetId="1" r:id="rId3"/>
  </sheets>
  <definedNames>
    <definedName name="_xlchart.v1.0" hidden="1">'Student Dataset'!$B$1</definedName>
    <definedName name="_xlchart.v1.1" hidden="1">'Student Dataset'!$B$2:$B$15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  <c r="G2" i="1"/>
  <c r="F2" i="1"/>
  <c r="E2" i="1"/>
  <c r="D2" i="1"/>
</calcChain>
</file>

<file path=xl/sharedStrings.xml><?xml version="1.0" encoding="utf-8"?>
<sst xmlns="http://schemas.openxmlformats.org/spreadsheetml/2006/main" count="100" uniqueCount="98">
  <si>
    <t>Student ID</t>
  </si>
  <si>
    <t>Marks</t>
  </si>
  <si>
    <t>Study Hours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</si>
  <si>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</si>
  <si>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</si>
  <si>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</si>
  <si>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</si>
  <si>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</si>
  <si>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</si>
  <si>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</si>
  <si>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</si>
  <si>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</si>
  <si>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</si>
  <si>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</si>
  <si>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</si>
  <si>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</si>
  <si>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</si>
  <si>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</si>
  <si>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</si>
  <si>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</si>
  <si>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</si>
  <si>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</si>
  <si>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</si>
  <si>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</si>
  <si>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</si>
  <si>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</si>
  <si>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</si>
  <si>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</si>
  <si>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</si>
  <si>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</si>
  <si>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</si>
  <si>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</si>
  <si>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</si>
  <si>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</si>
  <si>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</si>
  <si>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</si>
  <si>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</si>
  <si>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</si>
  <si>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</si>
  <si>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</si>
  <si>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</si>
  <si>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</si>
  <si>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</si>
  <si>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</si>
  <si>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</si>
  <si>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</si>
  <si>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</si>
  <si>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</si>
  <si>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</si>
  <si>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</si>
  <si>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</si>
  <si>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</si>
  <si>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</si>
  <si>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MEAN</t>
  </si>
  <si>
    <t>MEDIAN</t>
  </si>
  <si>
    <t>MODE</t>
  </si>
  <si>
    <t>VARIANCE</t>
  </si>
  <si>
    <t>RANGE</t>
  </si>
  <si>
    <t>STD DEVIACTION</t>
  </si>
  <si>
    <t>CORELATION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</si>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</sst>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Column</a:t>
            </a:r>
            <a:r>
              <a:rPr lang="en-US" baseline="0"/>
              <a:t> Chart Student vs Marks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358705161854769E-2"/>
          <c:y val="0.17837962962962964"/>
          <c:w val="0.89019685039370078"/>
          <c:h val="0.67797098279381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'Student Dataset'!$B$1</c:f>
              <c:strCache>
                <c:ptCount val="1"/>
                <c:pt idx="0">
                  <c:v>Marks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'Student Dataset'!$A$2:$A$51</c:f>
              <c:strCache>
                <c:ptCount val="50"/>
                <c:pt idx="0">
                  <c:v>S101</c:v>
                </c:pt>
                <c:pt idx="1">
                  <c:v>S102</c:v>
                </c:pt>
                <c:pt idx="2">
                  <c:v>S103</c:v>
                </c:pt>
                <c:pt idx="3">
                  <c:v>S104</c:v>
                </c:pt>
                <c:pt idx="4">
                  <c:v>S105</c:v>
                </c:pt>
                <c:pt idx="5">
                  <c:v>S106</c:v>
                </c:pt>
                <c:pt idx="6">
                  <c:v>S107</c:v>
                </c:pt>
                <c:pt idx="7">
                  <c:v>S108</c:v>
                </c:pt>
                <c:pt idx="8">
                  <c:v>S109</c:v>
                </c:pt>
                <c:pt idx="9">
                  <c:v>S110</c:v>
                </c:pt>
                <c:pt idx="10">
                  <c:v>S111</c:v>
                </c:pt>
                <c:pt idx="11">
                  <c:v>S112</c:v>
                </c:pt>
                <c:pt idx="12">
                  <c:v>S113</c:v>
                </c:pt>
                <c:pt idx="13">
                  <c:v>S114</c:v>
                </c:pt>
                <c:pt idx="14">
                  <c:v>S115</c:v>
                </c:pt>
                <c:pt idx="15">
                  <c:v>S116</c:v>
                </c:pt>
                <c:pt idx="16">
                  <c:v>S117</c:v>
                </c:pt>
                <c:pt idx="17">
                  <c:v>S118</c:v>
                </c:pt>
                <c:pt idx="18">
                  <c:v>S119</c:v>
                </c:pt>
                <c:pt idx="19">
                  <c:v>S120</c:v>
                </c:pt>
                <c:pt idx="20">
                  <c:v>S121</c:v>
                </c:pt>
                <c:pt idx="21">
                  <c:v>S122</c:v>
                </c:pt>
                <c:pt idx="22">
                  <c:v>S123</c:v>
                </c:pt>
                <c:pt idx="23">
                  <c:v>S124</c:v>
                </c:pt>
                <c:pt idx="24">
                  <c:v>S125</c:v>
                </c:pt>
                <c:pt idx="25">
                  <c:v>S126</c:v>
                </c:pt>
                <c:pt idx="26">
                  <c:v>S127</c:v>
                </c:pt>
                <c:pt idx="27">
                  <c:v>S128</c:v>
                </c:pt>
                <c:pt idx="28">
                  <c:v>S129</c:v>
                </c:pt>
                <c:pt idx="29">
                  <c:v>S130</c:v>
                </c:pt>
                <c:pt idx="30">
                  <c:v>S131</c:v>
                </c:pt>
                <c:pt idx="31">
                  <c:v>S132</c:v>
                </c:pt>
                <c:pt idx="32">
                  <c:v>S133</c:v>
                </c:pt>
                <c:pt idx="33">
                  <c:v>S134</c:v>
                </c:pt>
                <c:pt idx="34">
                  <c:v>S135</c:v>
                </c:pt>
                <c:pt idx="35">
                  <c:v>S136</c:v>
                </c:pt>
                <c:pt idx="36">
                  <c:v>S137</c:v>
                </c:pt>
                <c:pt idx="37">
                  <c:v>S138</c:v>
                </c:pt>
                <c:pt idx="38">
                  <c:v>S139</c:v>
                </c:pt>
                <c:pt idx="39">
                  <c:v>S140</c:v>
                </c:pt>
                <c:pt idx="40">
                  <c:v>S141</c:v>
                </c:pt>
                <c:pt idx="41">
                  <c:v>S142</c:v>
                </c:pt>
                <c:pt idx="42">
                  <c:v>S143</c:v>
                </c:pt>
                <c:pt idx="43">
                  <c:v>S144</c:v>
                </c:pt>
                <c:pt idx="44">
                  <c:v>S145</c:v>
                </c:pt>
                <c:pt idx="45">
                  <c:v>S146</c:v>
                </c:pt>
                <c:pt idx="46">
                  <c:v>S147</c:v>
                </c:pt>
                <c:pt idx="47">
                  <c:v>S148</c:v>
                </c:pt>
                <c:pt idx="48">
                  <c:v>S149</c:v>
                </c:pt>
                <c:pt idx="49">
                  <c:v>S150</c:v>
                </c:pt>
              </c:strCache>
            </c:strRef>
          </c:cat>
          <c:val>
            <c:numRef>
              <c:f>'Student Dataset'!$B$2:$B$51</c:f>
              <c:numCache>
                <c:formatCode>General</c:formatCode>
                <c:ptCount val="50"/>
                <c:pt idx="0">
                  <c:v>72</c:v>
                </c:pt>
                <c:pt idx="1">
                  <c:v>44</c:v>
                </c:pt>
                <c:pt idx="2">
                  <c:v>35</c:v>
                </c:pt>
                <c:pt idx="3">
                  <c:v>42</c:v>
                </c:pt>
                <c:pt idx="4">
                  <c:v>100</c:v>
                </c:pt>
                <c:pt idx="5">
                  <c:v>35</c:v>
                </c:pt>
                <c:pt idx="6">
                  <c:v>50</c:v>
                </c:pt>
                <c:pt idx="7">
                  <c:v>36</c:v>
                </c:pt>
                <c:pt idx="8">
                  <c:v>74</c:v>
                </c:pt>
                <c:pt idx="9">
                  <c:v>50</c:v>
                </c:pt>
                <c:pt idx="10">
                  <c:v>100</c:v>
                </c:pt>
                <c:pt idx="11">
                  <c:v>89</c:v>
                </c:pt>
                <c:pt idx="12">
                  <c:v>64</c:v>
                </c:pt>
                <c:pt idx="13">
                  <c:v>35</c:v>
                </c:pt>
                <c:pt idx="14">
                  <c:v>72</c:v>
                </c:pt>
                <c:pt idx="15">
                  <c:v>94</c:v>
                </c:pt>
                <c:pt idx="16">
                  <c:v>70</c:v>
                </c:pt>
                <c:pt idx="17">
                  <c:v>90</c:v>
                </c:pt>
                <c:pt idx="18">
                  <c:v>36</c:v>
                </c:pt>
                <c:pt idx="19">
                  <c:v>35</c:v>
                </c:pt>
                <c:pt idx="20">
                  <c:v>35</c:v>
                </c:pt>
                <c:pt idx="21">
                  <c:v>83</c:v>
                </c:pt>
                <c:pt idx="22">
                  <c:v>70</c:v>
                </c:pt>
                <c:pt idx="23">
                  <c:v>51</c:v>
                </c:pt>
                <c:pt idx="24">
                  <c:v>70</c:v>
                </c:pt>
                <c:pt idx="25">
                  <c:v>63</c:v>
                </c:pt>
                <c:pt idx="26">
                  <c:v>35</c:v>
                </c:pt>
                <c:pt idx="27">
                  <c:v>44</c:v>
                </c:pt>
                <c:pt idx="28">
                  <c:v>76</c:v>
                </c:pt>
                <c:pt idx="29">
                  <c:v>82</c:v>
                </c:pt>
                <c:pt idx="30">
                  <c:v>72</c:v>
                </c:pt>
                <c:pt idx="31">
                  <c:v>79</c:v>
                </c:pt>
                <c:pt idx="32">
                  <c:v>41</c:v>
                </c:pt>
                <c:pt idx="33">
                  <c:v>35</c:v>
                </c:pt>
                <c:pt idx="34">
                  <c:v>87</c:v>
                </c:pt>
                <c:pt idx="35">
                  <c:v>35</c:v>
                </c:pt>
                <c:pt idx="36">
                  <c:v>64</c:v>
                </c:pt>
                <c:pt idx="37">
                  <c:v>70</c:v>
                </c:pt>
                <c:pt idx="38">
                  <c:v>73</c:v>
                </c:pt>
                <c:pt idx="39">
                  <c:v>35</c:v>
                </c:pt>
                <c:pt idx="40">
                  <c:v>35</c:v>
                </c:pt>
                <c:pt idx="41">
                  <c:v>83</c:v>
                </c:pt>
                <c:pt idx="42">
                  <c:v>43</c:v>
                </c:pt>
                <c:pt idx="43">
                  <c:v>64</c:v>
                </c:pt>
                <c:pt idx="44">
                  <c:v>52</c:v>
                </c:pt>
                <c:pt idx="45">
                  <c:v>35</c:v>
                </c:pt>
                <c:pt idx="46">
                  <c:v>71</c:v>
                </c:pt>
                <c:pt idx="47">
                  <c:v>35</c:v>
                </c:pt>
                <c:pt idx="48">
                  <c:v>60</c:v>
                </c:pt>
                <c:pt idx="49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4-45AF-B096-ACDAEAFA0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75286816"/>
        <c:axId val="275295456"/>
      </c:barChart>
      <c:catAx>
        <c:axId val="27528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295456"/>
        <c:crosses val="autoZero"/>
        <c:auto val="1"/>
        <c:lblAlgn val="ctr"/>
        <c:lblOffset val="100"/>
        <c:noMultiLvlLbl val="0"/>
      </c:catAx>
      <c:valAx>
        <c:axId val="27529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286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Pie Chart for Marks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'Student Dataset'!$B$1</c:f>
              <c:strCache>
                <c:ptCount val="1"/>
                <c:pt idx="0">
                  <c:v>Marks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1DE7-41E3-A507-77419E7757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1DE7-41E3-A507-77419E77571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1DE7-41E3-A507-77419E77571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1DE7-41E3-A507-77419E77571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1DE7-41E3-A507-77419E77571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1DE7-41E3-A507-77419E77571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1DE7-41E3-A507-77419E77571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1DE7-41E3-A507-77419E77571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1DE7-41E3-A507-77419E77571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1DE7-41E3-A507-77419E77571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1DE7-41E3-A507-77419E77571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1DE7-41E3-A507-77419E77571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1DE7-41E3-A507-77419E77571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1DE7-41E3-A507-77419E77571D}"/>
              </c:ext>
            </c:extLst>
          </c:dPt>
          <c:dLbls>
            <c:delete val="1"/>
          </c:dLbls>
          <c:val>
            <c:numRef>
              <c:f>'Student Dataset'!$B$2:$B$15</c:f>
              <c:numCache>
                <c:formatCode>General</c:formatCode>
                <c:ptCount val="14"/>
                <c:pt idx="0">
                  <c:v>72</c:v>
                </c:pt>
                <c:pt idx="1">
                  <c:v>44</c:v>
                </c:pt>
                <c:pt idx="2">
                  <c:v>35</c:v>
                </c:pt>
                <c:pt idx="3">
                  <c:v>42</c:v>
                </c:pt>
                <c:pt idx="4">
                  <c:v>100</c:v>
                </c:pt>
                <c:pt idx="5">
                  <c:v>35</c:v>
                </c:pt>
                <c:pt idx="6">
                  <c:v>50</c:v>
                </c:pt>
                <c:pt idx="7">
                  <c:v>36</c:v>
                </c:pt>
                <c:pt idx="8">
                  <c:v>74</c:v>
                </c:pt>
                <c:pt idx="9">
                  <c:v>50</c:v>
                </c:pt>
                <c:pt idx="10">
                  <c:v>100</c:v>
                </c:pt>
                <c:pt idx="11">
                  <c:v>89</c:v>
                </c:pt>
                <c:pt idx="12">
                  <c:v>64</c:v>
                </c:pt>
                <c:pt idx="13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6A-42FD-AA96-4C682D880BF5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6</xdr:row>
      <xdr:rowOff>90487</xdr:rowOff>
    </xdr:from>
    <xdr:to>
      <xdr:col>9</xdr:col>
      <xdr:colOff>438150</xdr:colOff>
      <xdr:row>20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558326-80B2-5357-D19D-62A8741A9C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1000125</xdr:colOff>
      <xdr:row>6</xdr:row>
      <xdr:rowOff>128587</xdr:rowOff>
    </xdr:from>
    <xdr:to>
      <xdr:col>17</xdr:col>
      <xdr:colOff>295275</xdr:colOff>
      <xdr:row>21</xdr:row>
      <xdr:rowOff>14287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7985ED8-7832-E09A-B52C-CA1DABA954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785CA-F7BC-4AB1-BB3B-CD105A8BDF2C}">
  <dimension ref="A1:B15"/>
  <sheetViews>
    <sheetView workbookViewId="0">
      <selection activeCell="C25" sqref="C25"/>
    </sheetView>
  </sheetViews>
  <sheetFormatPr defaultRowHeight="15" x14ac:dyDescent="0.25"/>
  <sheetData>
    <row r="1" spans="1:2" x14ac:dyDescent="0.25">
      <c r="A1" s="7" t="s">
        <v>60</v>
      </c>
      <c r="B1" s="7"/>
    </row>
    <row r="2" spans="1:2" x14ac:dyDescent="0.25">
      <c r="A2" s="4"/>
      <c r="B2" s="4"/>
    </row>
    <row r="3" spans="1:2" x14ac:dyDescent="0.25">
      <c r="A3" s="4" t="s">
        <v>61</v>
      </c>
      <c r="B3" s="4">
        <v>59.08</v>
      </c>
    </row>
    <row r="4" spans="1:2" x14ac:dyDescent="0.25">
      <c r="A4" s="4" t="s">
        <v>62</v>
      </c>
      <c r="B4" s="4">
        <v>2.9172030216266664</v>
      </c>
    </row>
    <row r="5" spans="1:2" x14ac:dyDescent="0.25">
      <c r="A5" s="4" t="s">
        <v>63</v>
      </c>
      <c r="B5" s="4">
        <v>61.5</v>
      </c>
    </row>
    <row r="6" spans="1:2" x14ac:dyDescent="0.25">
      <c r="A6" s="4" t="s">
        <v>64</v>
      </c>
      <c r="B6" s="4">
        <v>35</v>
      </c>
    </row>
    <row r="7" spans="1:2" x14ac:dyDescent="0.25">
      <c r="A7" s="4" t="s">
        <v>65</v>
      </c>
      <c r="B7" s="4">
        <v>20.627740386901024</v>
      </c>
    </row>
    <row r="8" spans="1:2" x14ac:dyDescent="0.25">
      <c r="A8" s="4" t="s">
        <v>66</v>
      </c>
      <c r="B8" s="4">
        <v>425.50367346938759</v>
      </c>
    </row>
    <row r="9" spans="1:2" x14ac:dyDescent="0.25">
      <c r="A9" s="4" t="s">
        <v>67</v>
      </c>
      <c r="B9" s="4">
        <v>-1.1767566890659231</v>
      </c>
    </row>
    <row r="10" spans="1:2" x14ac:dyDescent="0.25">
      <c r="A10" s="4" t="s">
        <v>68</v>
      </c>
      <c r="B10" s="4">
        <v>0.27379494733587528</v>
      </c>
    </row>
    <row r="11" spans="1:2" x14ac:dyDescent="0.25">
      <c r="A11" s="4" t="s">
        <v>69</v>
      </c>
      <c r="B11" s="4">
        <v>65</v>
      </c>
    </row>
    <row r="12" spans="1:2" x14ac:dyDescent="0.25">
      <c r="A12" s="4" t="s">
        <v>70</v>
      </c>
      <c r="B12" s="4">
        <v>35</v>
      </c>
    </row>
    <row r="13" spans="1:2" x14ac:dyDescent="0.25">
      <c r="A13" s="4" t="s">
        <v>71</v>
      </c>
      <c r="B13" s="4">
        <v>100</v>
      </c>
    </row>
    <row r="14" spans="1:2" x14ac:dyDescent="0.25">
      <c r="A14" s="4" t="s">
        <v>72</v>
      </c>
      <c r="B14" s="4">
        <v>2954</v>
      </c>
    </row>
    <row r="15" spans="1:2" ht="15.75" thickBot="1" x14ac:dyDescent="0.3">
      <c r="A15" s="5" t="s">
        <v>73</v>
      </c>
      <c r="B15" s="5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470AB-A8FE-4BFE-885E-B8A09E56A8F7}">
  <dimension ref="A1:I18"/>
  <sheetViews>
    <sheetView workbookViewId="0">
      <selection activeCell="G20" sqref="G20"/>
    </sheetView>
  </sheetViews>
  <sheetFormatPr defaultRowHeight="15" x14ac:dyDescent="0.25"/>
  <sheetData>
    <row r="1" spans="1:9" x14ac:dyDescent="0.25">
      <c r="A1" t="s">
        <v>74</v>
      </c>
    </row>
    <row r="2" spans="1:9" ht="15.75" thickBot="1" x14ac:dyDescent="0.3"/>
    <row r="3" spans="1:9" x14ac:dyDescent="0.25">
      <c r="A3" s="7" t="s">
        <v>75</v>
      </c>
      <c r="B3" s="7"/>
    </row>
    <row r="4" spans="1:9" x14ac:dyDescent="0.25">
      <c r="A4" s="4" t="s">
        <v>76</v>
      </c>
      <c r="B4" s="4">
        <v>0.9749739278522046</v>
      </c>
    </row>
    <row r="5" spans="1:9" x14ac:dyDescent="0.25">
      <c r="A5" s="4" t="s">
        <v>77</v>
      </c>
      <c r="B5" s="4">
        <v>0.95057415999155592</v>
      </c>
    </row>
    <row r="6" spans="1:9" x14ac:dyDescent="0.25">
      <c r="A6" s="4" t="s">
        <v>78</v>
      </c>
      <c r="B6" s="4">
        <v>0.94954445499138007</v>
      </c>
    </row>
    <row r="7" spans="1:9" x14ac:dyDescent="0.25">
      <c r="A7" s="4" t="s">
        <v>62</v>
      </c>
      <c r="B7" s="4">
        <v>4.6334673569658236</v>
      </c>
    </row>
    <row r="8" spans="1:9" ht="15.75" thickBot="1" x14ac:dyDescent="0.3">
      <c r="A8" s="5" t="s">
        <v>79</v>
      </c>
      <c r="B8" s="5">
        <v>50</v>
      </c>
    </row>
    <row r="10" spans="1:9" ht="15.75" thickBot="1" x14ac:dyDescent="0.3">
      <c r="A10" t="s">
        <v>80</v>
      </c>
    </row>
    <row r="11" spans="1:9" x14ac:dyDescent="0.25">
      <c r="A11" s="6"/>
      <c r="B11" s="6" t="s">
        <v>85</v>
      </c>
      <c r="C11" s="6" t="s">
        <v>86</v>
      </c>
      <c r="D11" s="6" t="s">
        <v>87</v>
      </c>
      <c r="E11" s="6" t="s">
        <v>88</v>
      </c>
      <c r="F11" s="6" t="s">
        <v>89</v>
      </c>
    </row>
    <row r="12" spans="1:9" x14ac:dyDescent="0.25">
      <c r="A12" s="4" t="s">
        <v>81</v>
      </c>
      <c r="B12" s="4">
        <v>1</v>
      </c>
      <c r="C12" s="4">
        <v>19819.167052092736</v>
      </c>
      <c r="D12" s="4">
        <v>19819.167052092736</v>
      </c>
      <c r="E12" s="4">
        <v>923.15193169806457</v>
      </c>
      <c r="F12" s="4">
        <v>5.3028770204418714E-33</v>
      </c>
    </row>
    <row r="13" spans="1:9" x14ac:dyDescent="0.25">
      <c r="A13" s="4" t="s">
        <v>82</v>
      </c>
      <c r="B13" s="4">
        <v>48</v>
      </c>
      <c r="C13" s="4">
        <v>1030.5129479072571</v>
      </c>
      <c r="D13" s="4">
        <v>21.469019748067854</v>
      </c>
      <c r="E13" s="4"/>
      <c r="F13" s="4"/>
    </row>
    <row r="14" spans="1:9" ht="15.75" thickBot="1" x14ac:dyDescent="0.3">
      <c r="A14" s="5" t="s">
        <v>83</v>
      </c>
      <c r="B14" s="5">
        <v>49</v>
      </c>
      <c r="C14" s="5">
        <v>20849.679999999993</v>
      </c>
      <c r="D14" s="5"/>
      <c r="E14" s="5"/>
      <c r="F14" s="5"/>
    </row>
    <row r="15" spans="1:9" ht="15.75" thickBot="1" x14ac:dyDescent="0.3"/>
    <row r="16" spans="1:9" x14ac:dyDescent="0.25">
      <c r="A16" s="6"/>
      <c r="B16" s="6" t="s">
        <v>90</v>
      </c>
      <c r="C16" s="6" t="s">
        <v>62</v>
      </c>
      <c r="D16" s="6" t="s">
        <v>91</v>
      </c>
      <c r="E16" s="6" t="s">
        <v>92</v>
      </c>
      <c r="F16" s="6" t="s">
        <v>93</v>
      </c>
      <c r="G16" s="6" t="s">
        <v>94</v>
      </c>
      <c r="H16" s="6" t="s">
        <v>95</v>
      </c>
      <c r="I16" s="6" t="s">
        <v>96</v>
      </c>
    </row>
    <row r="17" spans="1:9" x14ac:dyDescent="0.25">
      <c r="A17" s="4" t="s">
        <v>84</v>
      </c>
      <c r="B17" s="4">
        <v>23.84101174345075</v>
      </c>
      <c r="C17" s="4">
        <v>1.3321184529433845</v>
      </c>
      <c r="D17" s="4">
        <v>17.8970659033908</v>
      </c>
      <c r="E17" s="4">
        <v>7.0614679625659196E-23</v>
      </c>
      <c r="F17" s="4">
        <v>21.162608080690163</v>
      </c>
      <c r="G17" s="4">
        <v>26.519415406211337</v>
      </c>
      <c r="H17" s="4">
        <v>21.162608080690163</v>
      </c>
      <c r="I17" s="4">
        <v>26.519415406211337</v>
      </c>
    </row>
    <row r="18" spans="1:9" ht="15.75" thickBot="1" x14ac:dyDescent="0.3">
      <c r="A18" s="5" t="s">
        <v>97</v>
      </c>
      <c r="B18" s="5">
        <v>8.6370069256248154</v>
      </c>
      <c r="C18" s="5">
        <v>0.28426715069317876</v>
      </c>
      <c r="D18" s="5">
        <v>30.383415405415917</v>
      </c>
      <c r="E18" s="5">
        <v>5.3028770204417961E-33</v>
      </c>
      <c r="F18" s="5">
        <v>8.0654495119903054</v>
      </c>
      <c r="G18" s="5">
        <v>9.2085643392593255</v>
      </c>
      <c r="H18" s="5">
        <v>8.0654495119903054</v>
      </c>
      <c r="I18" s="5">
        <v>9.2085643392593255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K29" sqref="K29"/>
    </sheetView>
  </sheetViews>
  <sheetFormatPr defaultRowHeight="15" x14ac:dyDescent="0.25"/>
  <cols>
    <col min="1" max="3" width="18" customWidth="1"/>
    <col min="7" max="7" width="10.85546875" customWidth="1"/>
    <col min="9" max="9" width="17.7109375" customWidth="1"/>
    <col min="10" max="10" width="15.140625" customWidth="1"/>
  </cols>
  <sheetData>
    <row r="1" spans="1:10" ht="15.75" x14ac:dyDescent="0.25">
      <c r="A1" s="2" t="s">
        <v>0</v>
      </c>
      <c r="B1" s="2" t="s">
        <v>1</v>
      </c>
      <c r="C1" s="2" t="s">
        <v>2</v>
      </c>
      <c r="D1" s="1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</row>
    <row r="2" spans="1:10" x14ac:dyDescent="0.25">
      <c r="A2" s="3" t="s">
        <v>3</v>
      </c>
      <c r="B2" s="3">
        <v>72</v>
      </c>
      <c r="C2" s="3">
        <v>6</v>
      </c>
      <c r="D2">
        <f>AVERAGE(B2:B51)</f>
        <v>59.08</v>
      </c>
      <c r="E2">
        <f>MEDIAN(B2:B51)</f>
        <v>61.5</v>
      </c>
      <c r="F2">
        <f>_xlfn.MODE.SNGL(B2:B51)</f>
        <v>35</v>
      </c>
      <c r="G2">
        <f>_xlfn.VAR.S(B2:B51)</f>
        <v>425.50367346938759</v>
      </c>
      <c r="H2">
        <f>MAX(B2:B51)-MIN(B2:B51)</f>
        <v>65</v>
      </c>
      <c r="I2">
        <f>_xlfn.STDEV.S(B2:B51)</f>
        <v>20.627740386901024</v>
      </c>
      <c r="J2">
        <f>CORREL(B2:B51,C2:C51)</f>
        <v>0.97497392785220471</v>
      </c>
    </row>
    <row r="3" spans="1:10" x14ac:dyDescent="0.25">
      <c r="A3" s="3" t="s">
        <v>4</v>
      </c>
      <c r="B3" s="3">
        <v>44</v>
      </c>
      <c r="C3" s="3">
        <v>2</v>
      </c>
    </row>
    <row r="4" spans="1:10" x14ac:dyDescent="0.25">
      <c r="A4" s="3" t="s">
        <v>5</v>
      </c>
      <c r="B4" s="3">
        <v>35</v>
      </c>
      <c r="C4" s="3">
        <v>1</v>
      </c>
    </row>
    <row r="5" spans="1:10" x14ac:dyDescent="0.25">
      <c r="A5" s="3" t="s">
        <v>6</v>
      </c>
      <c r="B5" s="3">
        <v>42</v>
      </c>
      <c r="C5" s="3">
        <v>2</v>
      </c>
    </row>
    <row r="6" spans="1:10" x14ac:dyDescent="0.25">
      <c r="A6" s="3" t="s">
        <v>7</v>
      </c>
      <c r="B6" s="3">
        <v>100</v>
      </c>
      <c r="C6" s="3">
        <v>8</v>
      </c>
    </row>
    <row r="7" spans="1:10" x14ac:dyDescent="0.25">
      <c r="A7" s="3" t="s">
        <v>8</v>
      </c>
      <c r="B7" s="3">
        <v>35</v>
      </c>
      <c r="C7" s="3">
        <v>1</v>
      </c>
    </row>
    <row r="8" spans="1:10" x14ac:dyDescent="0.25">
      <c r="A8" s="3" t="s">
        <v>9</v>
      </c>
      <c r="B8" s="3">
        <v>50</v>
      </c>
      <c r="C8" s="3">
        <v>4</v>
      </c>
    </row>
    <row r="9" spans="1:10" x14ac:dyDescent="0.25">
      <c r="A9" s="3" t="s">
        <v>10</v>
      </c>
      <c r="B9" s="3">
        <v>36</v>
      </c>
      <c r="C9" s="3">
        <v>2</v>
      </c>
    </row>
    <row r="10" spans="1:10" x14ac:dyDescent="0.25">
      <c r="A10" s="3" t="s">
        <v>11</v>
      </c>
      <c r="B10" s="3">
        <v>74</v>
      </c>
      <c r="C10" s="3">
        <v>6</v>
      </c>
    </row>
    <row r="11" spans="1:10" x14ac:dyDescent="0.25">
      <c r="A11" s="3" t="s">
        <v>12</v>
      </c>
      <c r="B11" s="3">
        <v>50</v>
      </c>
      <c r="C11" s="3">
        <v>4</v>
      </c>
    </row>
    <row r="12" spans="1:10" x14ac:dyDescent="0.25">
      <c r="A12" s="3" t="s">
        <v>13</v>
      </c>
      <c r="B12" s="3">
        <v>100</v>
      </c>
      <c r="C12" s="3">
        <v>8</v>
      </c>
    </row>
    <row r="13" spans="1:10" x14ac:dyDescent="0.25">
      <c r="A13" s="3" t="s">
        <v>14</v>
      </c>
      <c r="B13" s="3">
        <v>89</v>
      </c>
      <c r="C13" s="3">
        <v>7</v>
      </c>
    </row>
    <row r="14" spans="1:10" x14ac:dyDescent="0.25">
      <c r="A14" s="3" t="s">
        <v>15</v>
      </c>
      <c r="B14" s="3">
        <v>64</v>
      </c>
      <c r="C14" s="3">
        <v>4</v>
      </c>
    </row>
    <row r="15" spans="1:10" x14ac:dyDescent="0.25">
      <c r="A15" s="3" t="s">
        <v>16</v>
      </c>
      <c r="B15" s="3">
        <v>35</v>
      </c>
      <c r="C15" s="3">
        <v>1</v>
      </c>
    </row>
    <row r="16" spans="1:10" x14ac:dyDescent="0.25">
      <c r="A16" s="3" t="s">
        <v>17</v>
      </c>
      <c r="B16" s="3">
        <v>72</v>
      </c>
      <c r="C16" s="3">
        <v>6</v>
      </c>
    </row>
    <row r="17" spans="1:3" x14ac:dyDescent="0.25">
      <c r="A17" s="3" t="s">
        <v>18</v>
      </c>
      <c r="B17" s="3">
        <v>94</v>
      </c>
      <c r="C17" s="3">
        <v>7</v>
      </c>
    </row>
    <row r="18" spans="1:3" x14ac:dyDescent="0.25">
      <c r="A18" s="3" t="s">
        <v>19</v>
      </c>
      <c r="B18" s="3">
        <v>70</v>
      </c>
      <c r="C18" s="3">
        <v>6</v>
      </c>
    </row>
    <row r="19" spans="1:3" x14ac:dyDescent="0.25">
      <c r="A19" s="3" t="s">
        <v>20</v>
      </c>
      <c r="B19" s="3">
        <v>90</v>
      </c>
      <c r="C19" s="3">
        <v>8</v>
      </c>
    </row>
    <row r="20" spans="1:3" x14ac:dyDescent="0.25">
      <c r="A20" s="3" t="s">
        <v>21</v>
      </c>
      <c r="B20" s="3">
        <v>36</v>
      </c>
      <c r="C20" s="3">
        <v>2</v>
      </c>
    </row>
    <row r="21" spans="1:3" x14ac:dyDescent="0.25">
      <c r="A21" s="3" t="s">
        <v>22</v>
      </c>
      <c r="B21" s="3">
        <v>35</v>
      </c>
      <c r="C21" s="3">
        <v>1</v>
      </c>
    </row>
    <row r="22" spans="1:3" x14ac:dyDescent="0.25">
      <c r="A22" s="3" t="s">
        <v>23</v>
      </c>
      <c r="B22" s="3">
        <v>35</v>
      </c>
      <c r="C22" s="3">
        <v>2</v>
      </c>
    </row>
    <row r="23" spans="1:3" x14ac:dyDescent="0.25">
      <c r="A23" s="3" t="s">
        <v>24</v>
      </c>
      <c r="B23" s="3">
        <v>83</v>
      </c>
      <c r="C23" s="3">
        <v>7</v>
      </c>
    </row>
    <row r="24" spans="1:3" x14ac:dyDescent="0.25">
      <c r="A24" s="3" t="s">
        <v>25</v>
      </c>
      <c r="B24" s="3">
        <v>70</v>
      </c>
      <c r="C24" s="3">
        <v>6</v>
      </c>
    </row>
    <row r="25" spans="1:3" x14ac:dyDescent="0.25">
      <c r="A25" s="3" t="s">
        <v>26</v>
      </c>
      <c r="B25" s="3">
        <v>51</v>
      </c>
      <c r="C25" s="3">
        <v>4</v>
      </c>
    </row>
    <row r="26" spans="1:3" x14ac:dyDescent="0.25">
      <c r="A26" s="3" t="s">
        <v>27</v>
      </c>
      <c r="B26" s="3">
        <v>70</v>
      </c>
      <c r="C26" s="3">
        <v>5</v>
      </c>
    </row>
    <row r="27" spans="1:3" x14ac:dyDescent="0.25">
      <c r="A27" s="3" t="s">
        <v>28</v>
      </c>
      <c r="B27" s="3">
        <v>63</v>
      </c>
      <c r="C27" s="3">
        <v>4</v>
      </c>
    </row>
    <row r="28" spans="1:3" x14ac:dyDescent="0.25">
      <c r="A28" s="3" t="s">
        <v>29</v>
      </c>
      <c r="B28" s="3">
        <v>35</v>
      </c>
      <c r="C28" s="3">
        <v>1</v>
      </c>
    </row>
    <row r="29" spans="1:3" x14ac:dyDescent="0.25">
      <c r="A29" s="3" t="s">
        <v>30</v>
      </c>
      <c r="B29" s="3">
        <v>44</v>
      </c>
      <c r="C29" s="3">
        <v>3</v>
      </c>
    </row>
    <row r="30" spans="1:3" x14ac:dyDescent="0.25">
      <c r="A30" s="3" t="s">
        <v>31</v>
      </c>
      <c r="B30" s="3">
        <v>76</v>
      </c>
      <c r="C30" s="3">
        <v>6</v>
      </c>
    </row>
    <row r="31" spans="1:3" x14ac:dyDescent="0.25">
      <c r="A31" s="3" t="s">
        <v>32</v>
      </c>
      <c r="B31" s="3">
        <v>82</v>
      </c>
      <c r="C31" s="3">
        <v>7</v>
      </c>
    </row>
    <row r="32" spans="1:3" x14ac:dyDescent="0.25">
      <c r="A32" s="3" t="s">
        <v>33</v>
      </c>
      <c r="B32" s="3">
        <v>72</v>
      </c>
      <c r="C32" s="3">
        <v>6</v>
      </c>
    </row>
    <row r="33" spans="1:3" x14ac:dyDescent="0.25">
      <c r="A33" s="3" t="s">
        <v>34</v>
      </c>
      <c r="B33" s="3">
        <v>79</v>
      </c>
      <c r="C33" s="3">
        <v>6</v>
      </c>
    </row>
    <row r="34" spans="1:3" x14ac:dyDescent="0.25">
      <c r="A34" s="3" t="s">
        <v>35</v>
      </c>
      <c r="B34" s="3">
        <v>41</v>
      </c>
      <c r="C34" s="3">
        <v>2</v>
      </c>
    </row>
    <row r="35" spans="1:3" x14ac:dyDescent="0.25">
      <c r="A35" s="3" t="s">
        <v>36</v>
      </c>
      <c r="B35" s="3">
        <v>35</v>
      </c>
      <c r="C35" s="3">
        <v>1</v>
      </c>
    </row>
    <row r="36" spans="1:3" x14ac:dyDescent="0.25">
      <c r="A36" s="3" t="s">
        <v>37</v>
      </c>
      <c r="B36" s="3">
        <v>87</v>
      </c>
      <c r="C36" s="3">
        <v>7</v>
      </c>
    </row>
    <row r="37" spans="1:3" x14ac:dyDescent="0.25">
      <c r="A37" s="3" t="s">
        <v>38</v>
      </c>
      <c r="B37" s="3">
        <v>35</v>
      </c>
      <c r="C37" s="3">
        <v>1</v>
      </c>
    </row>
    <row r="38" spans="1:3" x14ac:dyDescent="0.25">
      <c r="A38" s="3" t="s">
        <v>39</v>
      </c>
      <c r="B38" s="3">
        <v>64</v>
      </c>
      <c r="C38" s="3">
        <v>4</v>
      </c>
    </row>
    <row r="39" spans="1:3" x14ac:dyDescent="0.25">
      <c r="A39" s="3" t="s">
        <v>40</v>
      </c>
      <c r="B39" s="3">
        <v>70</v>
      </c>
      <c r="C39" s="3">
        <v>5</v>
      </c>
    </row>
    <row r="40" spans="1:3" x14ac:dyDescent="0.25">
      <c r="A40" s="3" t="s">
        <v>41</v>
      </c>
      <c r="B40" s="3">
        <v>73</v>
      </c>
      <c r="C40" s="3">
        <v>6</v>
      </c>
    </row>
    <row r="41" spans="1:3" x14ac:dyDescent="0.25">
      <c r="A41" s="3" t="s">
        <v>42</v>
      </c>
      <c r="B41" s="3">
        <v>35</v>
      </c>
      <c r="C41" s="3">
        <v>2</v>
      </c>
    </row>
    <row r="42" spans="1:3" x14ac:dyDescent="0.25">
      <c r="A42" s="3" t="s">
        <v>43</v>
      </c>
      <c r="B42" s="3">
        <v>35</v>
      </c>
      <c r="C42" s="3">
        <v>1</v>
      </c>
    </row>
    <row r="43" spans="1:3" x14ac:dyDescent="0.25">
      <c r="A43" s="3" t="s">
        <v>44</v>
      </c>
      <c r="B43" s="3">
        <v>83</v>
      </c>
      <c r="C43" s="3">
        <v>7</v>
      </c>
    </row>
    <row r="44" spans="1:3" x14ac:dyDescent="0.25">
      <c r="A44" s="3" t="s">
        <v>45</v>
      </c>
      <c r="B44" s="3">
        <v>43</v>
      </c>
      <c r="C44" s="3">
        <v>2</v>
      </c>
    </row>
    <row r="45" spans="1:3" x14ac:dyDescent="0.25">
      <c r="A45" s="3" t="s">
        <v>46</v>
      </c>
      <c r="B45" s="3">
        <v>64</v>
      </c>
      <c r="C45" s="3">
        <v>4</v>
      </c>
    </row>
    <row r="46" spans="1:3" x14ac:dyDescent="0.25">
      <c r="A46" s="3" t="s">
        <v>47</v>
      </c>
      <c r="B46" s="3">
        <v>52</v>
      </c>
      <c r="C46" s="3">
        <v>3</v>
      </c>
    </row>
    <row r="47" spans="1:3" x14ac:dyDescent="0.25">
      <c r="A47" s="3" t="s">
        <v>48</v>
      </c>
      <c r="B47" s="3">
        <v>35</v>
      </c>
      <c r="C47" s="3">
        <v>1</v>
      </c>
    </row>
    <row r="48" spans="1:3" x14ac:dyDescent="0.25">
      <c r="A48" s="3" t="s">
        <v>49</v>
      </c>
      <c r="B48" s="3">
        <v>71</v>
      </c>
      <c r="C48" s="3">
        <v>5</v>
      </c>
    </row>
    <row r="49" spans="1:3" x14ac:dyDescent="0.25">
      <c r="A49" s="3" t="s">
        <v>50</v>
      </c>
      <c r="B49" s="3">
        <v>35</v>
      </c>
      <c r="C49" s="3">
        <v>1</v>
      </c>
    </row>
    <row r="50" spans="1:3" x14ac:dyDescent="0.25">
      <c r="A50" s="3" t="s">
        <v>51</v>
      </c>
      <c r="B50" s="3">
        <v>60</v>
      </c>
      <c r="C50" s="3">
        <v>5</v>
      </c>
    </row>
    <row r="51" spans="1:3" x14ac:dyDescent="0.25">
      <c r="A51" s="3" t="s">
        <v>52</v>
      </c>
      <c r="B51" s="3">
        <v>53</v>
      </c>
      <c r="C51" s="3">
        <v>4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Descriptive Analysis</vt:lpstr>
      <vt:lpstr>Regression Analysis</vt:lpstr>
      <vt:lpstr>Student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VARDHAN KUMAR REDDY KANCHARLA</cp:lastModifiedBy>
  <dcterms:created xsi:type="dcterms:W3CDTF">2026-05-26T08:35:49Z</dcterms:created>
  <dcterms:modified xsi:type="dcterms:W3CDTF">2026-05-26T09:53:56Z</dcterms:modified>
</cp:coreProperties>
</file>