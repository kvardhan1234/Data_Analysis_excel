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945c242bfc7e0b/Desktop/"/>
    </mc:Choice>
  </mc:AlternateContent>
  <xr:revisionPtr revIDLastSave="0" documentId="8_{D79C78EA-7BD7-47E7-A531-242631B81C1B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Descriptive Analysis" sheetId="2" r:id="rId1"/>
    <sheet name="Regression Analysis" sheetId="3" r:id="rId2"/>
    <sheet name="Employee Salary Dat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E2" i="1"/>
  <c r="D2" i="1"/>
</calcChain>
</file>

<file path=xl/sharedStrings.xml><?xml version="1.0" encoding="utf-8"?>
<sst xmlns="http://schemas.openxmlformats.org/spreadsheetml/2006/main" count="64" uniqueCount="62">
  <si>
    <t>Employee ID</t>
  </si>
  <si>
    <t>Salary</t>
  </si>
  <si>
    <t>Experience Years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</si>
  <si>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</si>
  <si>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</si>
  <si>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</si>
  <si>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</si>
  <si>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</si>
  <si>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</si>
  <si>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</si>
  <si>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</si>
  <si>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</si>
  <si>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</si>
  <si>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</si>
  <si>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</si>
  <si>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</si>
  <si>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</si>
  <si>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</si>
  <si>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MEAN</t>
  </si>
  <si>
    <t>MEDIAN</t>
  </si>
  <si>
    <t>VARIANCE</t>
  </si>
  <si>
    <t>RANGE</t>
  </si>
  <si>
    <t>STD DEVIATION</t>
  </si>
  <si>
    <t>CORRELATION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</si>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</sst>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name val="Segoe UI"/>
    </font>
    <font>
      <b/>
      <sz val="11"/>
      <name val="Segoe UI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3" fontId="0" fillId="0" borderId="0" xfId="0" applyNumberFormat="1"/>
    <xf numFmtId="0" fontId="0" fillId="0" borderId="0" xfId="0" applyFill="1" applyBorder="1" applyAlignment="1"/>
    <xf numFmtId="0" fontId="0" fillId="0" borderId="4" xfId="0" applyFill="1" applyBorder="1" applyAlignment="1"/>
    <xf numFmtId="0" fontId="4" fillId="0" borderId="5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'Employee Salary Data'!$B$1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'Employee Salary Data'!$A$2:$A$16</c:f>
              <c:strCache>
                <c:ptCount val="15"/>
                <c:pt idx="0">
                  <c:v>E101</c:v>
                </c:pt>
                <c:pt idx="1">
                  <c:v>E102</c:v>
                </c:pt>
                <c:pt idx="2">
                  <c:v>E103</c:v>
                </c:pt>
                <c:pt idx="3">
                  <c:v>E104</c:v>
                </c:pt>
                <c:pt idx="4">
                  <c:v>E105</c:v>
                </c:pt>
                <c:pt idx="5">
                  <c:v>E106</c:v>
                </c:pt>
                <c:pt idx="6">
                  <c:v>E107</c:v>
                </c:pt>
                <c:pt idx="7">
                  <c:v>E108</c:v>
                </c:pt>
                <c:pt idx="8">
                  <c:v>E109</c:v>
                </c:pt>
                <c:pt idx="9">
                  <c:v>E110</c:v>
                </c:pt>
                <c:pt idx="10">
                  <c:v>E111</c:v>
                </c:pt>
                <c:pt idx="11">
                  <c:v>E112</c:v>
                </c:pt>
                <c:pt idx="12">
                  <c:v>E113</c:v>
                </c:pt>
                <c:pt idx="13">
                  <c:v>E114</c:v>
                </c:pt>
                <c:pt idx="14">
                  <c:v>E115</c:v>
                </c:pt>
              </c:strCache>
            </c:strRef>
          </c:cat>
          <c:val>
            <c:numRef>
              <c:f>'Employee Salary Data'!$B$2:$B$16</c:f>
              <c:numCache>
                <c:formatCode>#,##0</c:formatCode>
                <c:ptCount val="15"/>
                <c:pt idx="0">
                  <c:v>25000</c:v>
                </c:pt>
                <c:pt idx="1">
                  <c:v>32000</c:v>
                </c:pt>
                <c:pt idx="2">
                  <c:v>41000</c:v>
                </c:pt>
                <c:pt idx="3">
                  <c:v>48000</c:v>
                </c:pt>
                <c:pt idx="4">
                  <c:v>53000</c:v>
                </c:pt>
                <c:pt idx="5">
                  <c:v>60000</c:v>
                </c:pt>
                <c:pt idx="6">
                  <c:v>67000</c:v>
                </c:pt>
                <c:pt idx="7">
                  <c:v>72000</c:v>
                </c:pt>
                <c:pt idx="8">
                  <c:v>79000</c:v>
                </c:pt>
                <c:pt idx="9">
                  <c:v>85000</c:v>
                </c:pt>
                <c:pt idx="10">
                  <c:v>46000</c:v>
                </c:pt>
                <c:pt idx="11">
                  <c:v>56000</c:v>
                </c:pt>
                <c:pt idx="12">
                  <c:v>69000</c:v>
                </c:pt>
                <c:pt idx="13">
                  <c:v>77000</c:v>
                </c:pt>
                <c:pt idx="14">
                  <c:v>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D-48A5-B944-D74B4942C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23274928"/>
        <c:axId val="1623274448"/>
        <c:axId val="0"/>
      </c:bar3DChart>
      <c:catAx>
        <c:axId val="162327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274448"/>
        <c:crosses val="autoZero"/>
        <c:auto val="1"/>
        <c:lblAlgn val="ctr"/>
        <c:lblOffset val="100"/>
        <c:noMultiLvlLbl val="0"/>
      </c:catAx>
      <c:valAx>
        <c:axId val="162327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27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333333333333333E-2"/>
          <c:y val="0.18300925925925926"/>
          <c:w val="0.93888888888888888"/>
          <c:h val="0.66016149023038784"/>
        </c:manualLayout>
      </c:layout>
      <c:pie3DChart>
        <c:varyColors val="1"/>
        <c:ser>
          <c:idx val="0"/>
          <c:order val="0"/>
          <c:tx>
            <c:strRef>
              <c:f>'Employee Salary Data'!$B$1</c:f>
              <c:strCache>
                <c:ptCount val="1"/>
                <c:pt idx="0">
                  <c:v>Salary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'Employee Salary Data'!$A$2:$A$10</c:f>
              <c:strCache>
                <c:ptCount val="9"/>
                <c:pt idx="0">
                  <c:v>E101</c:v>
                </c:pt>
                <c:pt idx="1">
                  <c:v>E102</c:v>
                </c:pt>
                <c:pt idx="2">
                  <c:v>E103</c:v>
                </c:pt>
                <c:pt idx="3">
                  <c:v>E104</c:v>
                </c:pt>
                <c:pt idx="4">
                  <c:v>E105</c:v>
                </c:pt>
                <c:pt idx="5">
                  <c:v>E106</c:v>
                </c:pt>
                <c:pt idx="6">
                  <c:v>E107</c:v>
                </c:pt>
                <c:pt idx="7">
                  <c:v>E108</c:v>
                </c:pt>
                <c:pt idx="8">
                  <c:v>E109</c:v>
                </c:pt>
              </c:strCache>
            </c:strRef>
          </c:cat>
          <c:val>
            <c:numRef>
              <c:f>'Employee Salary Data'!$B$2:$B$10</c:f>
              <c:numCache>
                <c:formatCode>#,##0</c:formatCode>
                <c:ptCount val="9"/>
                <c:pt idx="0">
                  <c:v>25000</c:v>
                </c:pt>
                <c:pt idx="1">
                  <c:v>32000</c:v>
                </c:pt>
                <c:pt idx="2">
                  <c:v>41000</c:v>
                </c:pt>
                <c:pt idx="3">
                  <c:v>48000</c:v>
                </c:pt>
                <c:pt idx="4">
                  <c:v>53000</c:v>
                </c:pt>
                <c:pt idx="5">
                  <c:v>60000</c:v>
                </c:pt>
                <c:pt idx="6">
                  <c:v>67000</c:v>
                </c:pt>
                <c:pt idx="7">
                  <c:v>72000</c:v>
                </c:pt>
                <c:pt idx="8">
                  <c:v>79000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0-40C0-8143-548B468A0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3</xdr:row>
      <xdr:rowOff>76200</xdr:rowOff>
    </xdr:from>
    <xdr:to>
      <xdr:col>8</xdr:col>
      <xdr:colOff>365760</xdr:colOff>
      <xdr:row>16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BE62C-BF25-78DF-A581-8A8BB9199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723900</xdr:colOff>
      <xdr:row>3</xdr:row>
      <xdr:rowOff>114300</xdr:rowOff>
    </xdr:from>
    <xdr:to>
      <xdr:col>14</xdr:col>
      <xdr:colOff>259080</xdr:colOff>
      <xdr:row>16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B48B2D-2F78-AA5F-1B44-01BD7395A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69A2-4A97-427A-B539-77F1CFC74EAD}">
  <dimension ref="A1:B15"/>
  <sheetViews>
    <sheetView workbookViewId="0">
      <selection sqref="A1:B15"/>
    </sheetView>
  </sheetViews>
  <sheetFormatPr defaultRowHeight="14.4" x14ac:dyDescent="0.3"/>
  <sheetData>
    <row r="1" spans="1:2" x14ac:dyDescent="0.3">
      <c r="A1" s="14" t="s">
        <v>24</v>
      </c>
      <c r="B1" s="14"/>
    </row>
    <row r="2" spans="1:2" x14ac:dyDescent="0.3">
      <c r="A2" s="11"/>
      <c r="B2" s="11"/>
    </row>
    <row r="3" spans="1:2" x14ac:dyDescent="0.3">
      <c r="A3" s="11" t="s">
        <v>25</v>
      </c>
      <c r="B3" s="11">
        <v>60133.333333333336</v>
      </c>
    </row>
    <row r="4" spans="1:2" x14ac:dyDescent="0.3">
      <c r="A4" s="11" t="s">
        <v>26</v>
      </c>
      <c r="B4" s="11">
        <v>5046.325081224637</v>
      </c>
    </row>
    <row r="5" spans="1:2" x14ac:dyDescent="0.3">
      <c r="A5" s="11" t="s">
        <v>27</v>
      </c>
      <c r="B5" s="11">
        <v>60000</v>
      </c>
    </row>
    <row r="6" spans="1:2" x14ac:dyDescent="0.3">
      <c r="A6" s="11" t="s">
        <v>28</v>
      </c>
      <c r="B6" s="11" t="e">
        <v>#N/A</v>
      </c>
    </row>
    <row r="7" spans="1:2" x14ac:dyDescent="0.3">
      <c r="A7" s="11" t="s">
        <v>29</v>
      </c>
      <c r="B7" s="11">
        <v>19544.33299913181</v>
      </c>
    </row>
    <row r="8" spans="1:2" x14ac:dyDescent="0.3">
      <c r="A8" s="11" t="s">
        <v>30</v>
      </c>
      <c r="B8" s="11">
        <v>381980952.38095254</v>
      </c>
    </row>
    <row r="9" spans="1:2" x14ac:dyDescent="0.3">
      <c r="A9" s="11" t="s">
        <v>31</v>
      </c>
      <c r="B9" s="11">
        <v>-0.75819890632811004</v>
      </c>
    </row>
    <row r="10" spans="1:2" x14ac:dyDescent="0.3">
      <c r="A10" s="11" t="s">
        <v>32</v>
      </c>
      <c r="B10" s="11">
        <v>-0.17375527660564083</v>
      </c>
    </row>
    <row r="11" spans="1:2" x14ac:dyDescent="0.3">
      <c r="A11" s="11" t="s">
        <v>33</v>
      </c>
      <c r="B11" s="11">
        <v>67000</v>
      </c>
    </row>
    <row r="12" spans="1:2" x14ac:dyDescent="0.3">
      <c r="A12" s="11" t="s">
        <v>34</v>
      </c>
      <c r="B12" s="11">
        <v>25000</v>
      </c>
    </row>
    <row r="13" spans="1:2" x14ac:dyDescent="0.3">
      <c r="A13" s="11" t="s">
        <v>35</v>
      </c>
      <c r="B13" s="11">
        <v>92000</v>
      </c>
    </row>
    <row r="14" spans="1:2" x14ac:dyDescent="0.3">
      <c r="A14" s="11" t="s">
        <v>36</v>
      </c>
      <c r="B14" s="11">
        <v>902000</v>
      </c>
    </row>
    <row r="15" spans="1:2" ht="15" thickBot="1" x14ac:dyDescent="0.35">
      <c r="A15" s="12" t="s">
        <v>37</v>
      </c>
      <c r="B15" s="12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E6F5-2AC0-4552-8166-9F64DEB151BF}">
  <dimension ref="A1:I18"/>
  <sheetViews>
    <sheetView workbookViewId="0">
      <selection activeCell="H24" sqref="H24"/>
    </sheetView>
  </sheetViews>
  <sheetFormatPr defaultRowHeight="14.4" x14ac:dyDescent="0.3"/>
  <sheetData>
    <row r="1" spans="1:9" x14ac:dyDescent="0.3">
      <c r="A1" t="s">
        <v>38</v>
      </c>
    </row>
    <row r="2" spans="1:9" ht="15" thickBot="1" x14ac:dyDescent="0.35"/>
    <row r="3" spans="1:9" x14ac:dyDescent="0.3">
      <c r="A3" s="14" t="s">
        <v>39</v>
      </c>
      <c r="B3" s="14"/>
    </row>
    <row r="4" spans="1:9" x14ac:dyDescent="0.3">
      <c r="A4" s="11" t="s">
        <v>40</v>
      </c>
      <c r="B4" s="11">
        <v>0.9918110709450213</v>
      </c>
    </row>
    <row r="5" spans="1:9" x14ac:dyDescent="0.3">
      <c r="A5" s="11" t="s">
        <v>41</v>
      </c>
      <c r="B5" s="11">
        <v>0.98368920044911001</v>
      </c>
    </row>
    <row r="6" spans="1:9" x14ac:dyDescent="0.3">
      <c r="A6" s="11" t="s">
        <v>42</v>
      </c>
      <c r="B6" s="11">
        <v>0.98243452356058003</v>
      </c>
    </row>
    <row r="7" spans="1:9" x14ac:dyDescent="0.3">
      <c r="A7" s="11" t="s">
        <v>26</v>
      </c>
      <c r="B7" s="11">
        <v>2590.3045032109335</v>
      </c>
    </row>
    <row r="8" spans="1:9" ht="15" thickBot="1" x14ac:dyDescent="0.35">
      <c r="A8" s="12" t="s">
        <v>43</v>
      </c>
      <c r="B8" s="12">
        <v>15</v>
      </c>
    </row>
    <row r="10" spans="1:9" ht="15" thickBot="1" x14ac:dyDescent="0.35">
      <c r="A10" t="s">
        <v>44</v>
      </c>
    </row>
    <row r="11" spans="1:9" x14ac:dyDescent="0.3">
      <c r="A11" s="13"/>
      <c r="B11" s="13" t="s">
        <v>49</v>
      </c>
      <c r="C11" s="13" t="s">
        <v>50</v>
      </c>
      <c r="D11" s="13" t="s">
        <v>51</v>
      </c>
      <c r="E11" s="13" t="s">
        <v>52</v>
      </c>
      <c r="F11" s="13" t="s">
        <v>53</v>
      </c>
    </row>
    <row r="12" spans="1:9" x14ac:dyDescent="0.3">
      <c r="A12" s="11" t="s">
        <v>45</v>
      </c>
      <c r="B12" s="11">
        <v>1</v>
      </c>
      <c r="C12" s="11">
        <v>5260507526.8817215</v>
      </c>
      <c r="D12" s="11">
        <v>5260507526.8817215</v>
      </c>
      <c r="E12" s="11">
        <v>784.01794871794857</v>
      </c>
      <c r="F12" s="11">
        <v>5.2578232499983575E-13</v>
      </c>
    </row>
    <row r="13" spans="1:9" x14ac:dyDescent="0.3">
      <c r="A13" s="11" t="s">
        <v>46</v>
      </c>
      <c r="B13" s="11">
        <v>13</v>
      </c>
      <c r="C13" s="11">
        <v>87225806.451612934</v>
      </c>
      <c r="D13" s="11">
        <v>6709677.4193548411</v>
      </c>
      <c r="E13" s="11"/>
      <c r="F13" s="11"/>
    </row>
    <row r="14" spans="1:9" ht="15" thickBot="1" x14ac:dyDescent="0.35">
      <c r="A14" s="12" t="s">
        <v>47</v>
      </c>
      <c r="B14" s="12">
        <v>14</v>
      </c>
      <c r="C14" s="12">
        <v>5347733333.333334</v>
      </c>
      <c r="D14" s="12"/>
      <c r="E14" s="12"/>
      <c r="F14" s="12"/>
    </row>
    <row r="15" spans="1:9" ht="15" thickBot="1" x14ac:dyDescent="0.35"/>
    <row r="16" spans="1:9" x14ac:dyDescent="0.3">
      <c r="A16" s="13"/>
      <c r="B16" s="13" t="s">
        <v>54</v>
      </c>
      <c r="C16" s="13" t="s">
        <v>26</v>
      </c>
      <c r="D16" s="13" t="s">
        <v>55</v>
      </c>
      <c r="E16" s="13" t="s">
        <v>56</v>
      </c>
      <c r="F16" s="13" t="s">
        <v>57</v>
      </c>
      <c r="G16" s="13" t="s">
        <v>58</v>
      </c>
      <c r="H16" s="13" t="s">
        <v>59</v>
      </c>
      <c r="I16" s="13" t="s">
        <v>60</v>
      </c>
    </row>
    <row r="17" spans="1:9" x14ac:dyDescent="0.3">
      <c r="A17" s="11" t="s">
        <v>48</v>
      </c>
      <c r="B17" s="11">
        <v>20580.645161290326</v>
      </c>
      <c r="C17" s="11">
        <v>1562.9119049755923</v>
      </c>
      <c r="D17" s="11">
        <v>13.168141528496278</v>
      </c>
      <c r="E17" s="11">
        <v>6.8062752649178507E-9</v>
      </c>
      <c r="F17" s="11">
        <v>17204.179268968503</v>
      </c>
      <c r="G17" s="11">
        <v>23957.111053612149</v>
      </c>
      <c r="H17" s="11">
        <v>17204.179268968503</v>
      </c>
      <c r="I17" s="11">
        <v>23957.111053612149</v>
      </c>
    </row>
    <row r="18" spans="1:9" ht="15" thickBot="1" x14ac:dyDescent="0.35">
      <c r="A18" s="12" t="s">
        <v>61</v>
      </c>
      <c r="B18" s="12">
        <v>6741.9354838709687</v>
      </c>
      <c r="C18" s="12">
        <v>240.78065396521905</v>
      </c>
      <c r="D18" s="12">
        <v>28.000320510986096</v>
      </c>
      <c r="E18" s="12">
        <v>5.2578232499983575E-13</v>
      </c>
      <c r="F18" s="12">
        <v>6221.7605059618963</v>
      </c>
      <c r="G18" s="12">
        <v>7262.1104617800411</v>
      </c>
      <c r="H18" s="12">
        <v>6221.7605059618963</v>
      </c>
      <c r="I18" s="12">
        <v>7262.1104617800411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D20" sqref="D20"/>
    </sheetView>
  </sheetViews>
  <sheetFormatPr defaultRowHeight="14.4" x14ac:dyDescent="0.3"/>
  <cols>
    <col min="1" max="1" width="13.77734375" customWidth="1"/>
    <col min="2" max="2" width="17.33203125" customWidth="1"/>
    <col min="3" max="3" width="19.44140625" customWidth="1"/>
    <col min="4" max="4" width="20" customWidth="1"/>
    <col min="5" max="5" width="12.44140625" customWidth="1"/>
    <col min="6" max="6" width="10.33203125" customWidth="1"/>
    <col min="7" max="7" width="11.6640625" customWidth="1"/>
    <col min="8" max="8" width="14.6640625" customWidth="1"/>
    <col min="9" max="9" width="20.21875" customWidth="1"/>
    <col min="10" max="10" width="17.6640625" customWidth="1"/>
  </cols>
  <sheetData>
    <row r="1" spans="1:10" ht="16.8" x14ac:dyDescent="0.3">
      <c r="A1" s="1" t="s">
        <v>0</v>
      </c>
      <c r="B1" s="1" t="s">
        <v>1</v>
      </c>
      <c r="C1" s="1" t="s">
        <v>2</v>
      </c>
      <c r="D1" s="9" t="s">
        <v>18</v>
      </c>
      <c r="E1" s="9" t="s">
        <v>19</v>
      </c>
      <c r="F1" s="9"/>
      <c r="G1" s="9" t="s">
        <v>20</v>
      </c>
      <c r="H1" s="9" t="s">
        <v>21</v>
      </c>
      <c r="I1" s="9" t="s">
        <v>22</v>
      </c>
      <c r="J1" s="9" t="s">
        <v>23</v>
      </c>
    </row>
    <row r="2" spans="1:10" ht="16.8" x14ac:dyDescent="0.3">
      <c r="A2" s="2" t="s">
        <v>3</v>
      </c>
      <c r="B2" s="7">
        <v>25000</v>
      </c>
      <c r="C2" s="7">
        <v>1</v>
      </c>
      <c r="D2" s="10">
        <f>AVERAGE(B2:B16)</f>
        <v>60133.333333333336</v>
      </c>
      <c r="E2" s="10">
        <f>MEDIAN(B2:B16)</f>
        <v>60000</v>
      </c>
      <c r="G2">
        <f>_xlfn.VAR.S(B2:B16)</f>
        <v>381980952.38095254</v>
      </c>
      <c r="H2" s="10">
        <f>MAX(B2:B16)-MIN(B2:B16)</f>
        <v>67000</v>
      </c>
      <c r="I2">
        <f>_xlfn.STDEV.S(B2:B16)</f>
        <v>19544.33299913181</v>
      </c>
      <c r="J2">
        <f>CORREL(B2:B16,C2:C16)</f>
        <v>0.99181107094502141</v>
      </c>
    </row>
    <row r="3" spans="1:10" ht="16.8" x14ac:dyDescent="0.3">
      <c r="A3" s="3" t="s">
        <v>4</v>
      </c>
      <c r="B3" s="8">
        <v>32000</v>
      </c>
      <c r="C3" s="8">
        <v>2</v>
      </c>
    </row>
    <row r="4" spans="1:10" ht="16.8" x14ac:dyDescent="0.3">
      <c r="A4" s="2" t="s">
        <v>5</v>
      </c>
      <c r="B4" s="7">
        <v>41000</v>
      </c>
      <c r="C4" s="7">
        <v>3</v>
      </c>
    </row>
    <row r="5" spans="1:10" ht="16.8" x14ac:dyDescent="0.3">
      <c r="A5" s="3" t="s">
        <v>6</v>
      </c>
      <c r="B5" s="8">
        <v>48000</v>
      </c>
      <c r="C5" s="8">
        <v>4</v>
      </c>
    </row>
    <row r="6" spans="1:10" ht="16.8" x14ac:dyDescent="0.3">
      <c r="A6" s="2" t="s">
        <v>7</v>
      </c>
      <c r="B6" s="7">
        <v>53000</v>
      </c>
      <c r="C6" s="7">
        <v>5</v>
      </c>
    </row>
    <row r="7" spans="1:10" ht="16.8" x14ac:dyDescent="0.3">
      <c r="A7" s="3" t="s">
        <v>8</v>
      </c>
      <c r="B7" s="8">
        <v>60000</v>
      </c>
      <c r="C7" s="8">
        <v>6</v>
      </c>
    </row>
    <row r="8" spans="1:10" ht="16.8" x14ac:dyDescent="0.3">
      <c r="A8" s="2" t="s">
        <v>9</v>
      </c>
      <c r="B8" s="7">
        <v>67000</v>
      </c>
      <c r="C8" s="7">
        <v>7</v>
      </c>
    </row>
    <row r="9" spans="1:10" ht="16.8" x14ac:dyDescent="0.3">
      <c r="A9" s="3" t="s">
        <v>10</v>
      </c>
      <c r="B9" s="8">
        <v>72000</v>
      </c>
      <c r="C9" s="8">
        <v>8</v>
      </c>
    </row>
    <row r="10" spans="1:10" ht="16.8" x14ac:dyDescent="0.3">
      <c r="A10" s="2" t="s">
        <v>11</v>
      </c>
      <c r="B10" s="7">
        <v>79000</v>
      </c>
      <c r="C10" s="7">
        <v>9</v>
      </c>
    </row>
    <row r="11" spans="1:10" ht="16.8" x14ac:dyDescent="0.3">
      <c r="A11" s="3" t="s">
        <v>12</v>
      </c>
      <c r="B11" s="8">
        <v>85000</v>
      </c>
      <c r="C11" s="8">
        <v>10</v>
      </c>
    </row>
    <row r="12" spans="1:10" ht="16.8" x14ac:dyDescent="0.3">
      <c r="A12" s="2" t="s">
        <v>13</v>
      </c>
      <c r="B12" s="7">
        <v>46000</v>
      </c>
      <c r="C12" s="7">
        <v>3</v>
      </c>
    </row>
    <row r="13" spans="1:10" ht="16.8" x14ac:dyDescent="0.3">
      <c r="A13" s="3" t="s">
        <v>14</v>
      </c>
      <c r="B13" s="8">
        <v>56000</v>
      </c>
      <c r="C13" s="8">
        <v>5</v>
      </c>
    </row>
    <row r="14" spans="1:10" ht="16.8" x14ac:dyDescent="0.3">
      <c r="A14" s="2" t="s">
        <v>15</v>
      </c>
      <c r="B14" s="7">
        <v>69000</v>
      </c>
      <c r="C14" s="7">
        <v>7</v>
      </c>
    </row>
    <row r="15" spans="1:10" ht="16.8" x14ac:dyDescent="0.3">
      <c r="A15" s="3" t="s">
        <v>16</v>
      </c>
      <c r="B15" s="8">
        <v>77000</v>
      </c>
      <c r="C15" s="8">
        <v>8</v>
      </c>
    </row>
    <row r="16" spans="1:10" ht="16.8" x14ac:dyDescent="0.3">
      <c r="A16" s="2" t="s">
        <v>17</v>
      </c>
      <c r="B16" s="7">
        <v>92000</v>
      </c>
      <c r="C16" s="7">
        <v>10</v>
      </c>
    </row>
    <row r="17" spans="1:3" ht="17.399999999999999" thickBot="1" x14ac:dyDescent="0.35">
      <c r="A17" s="4"/>
      <c r="B17" s="5"/>
      <c r="C17" s="6"/>
    </row>
    <row r="18" spans="1:3" ht="15" thickTop="1" x14ac:dyDescent="0.3"/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Descriptive Analysis</vt:lpstr>
      <vt:lpstr>Regression Analysis</vt:lpstr>
      <vt:lpstr>Employee Salary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Kancharla Subbareddy</cp:lastModifiedBy>
  <dcterms:created xsi:type="dcterms:W3CDTF">2026-05-26T17:13:31Z</dcterms:created>
  <dcterms:modified xsi:type="dcterms:W3CDTF">2026-05-26T17:44:58Z</dcterms:modified>
</cp:coreProperties>
</file>